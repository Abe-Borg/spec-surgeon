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1. Audit Checklist" sheetId="1" state="visible" r:id="rId3"/>
    <sheet name="2. Invariants &amp; V1-V10" sheetId="2" state="visible" r:id="rId4"/>
    <sheet name="3. v0.3.0 File Inventory"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<sst xmlns="http://schemas.openxmlformats.org/spreadsheetml/2006/main" count="441" uniqueCount="308">
  <si>
    <t xml:space="preserve">Spec Surgeon v0.3.0 — Independent LLM Audit Checklist (Chunks 1–4)</t>
  </si>
  <si>
    <t xml:space="preserve">How to Use: Inspect each capability in the codebase, run the Verification Command, and set 'Independent LLM Verdict' to PASS, FAIL, or PARTIAL.</t>
  </si>
  <si>
    <t xml:space="preserve">Total Audit Capabilities</t>
  </si>
  <si>
    <t xml:space="preserve">Automated Pytest Suite</t>
  </si>
  <si>
    <t xml:space="preserve">Independent LLM Verified (PASS)</t>
  </si>
  <si>
    <t xml:space="preserve">Independent LLM Issues (FAIL)</t>
  </si>
  <si>
    <t xml:space="preserve">Pending Independent Audit</t>
  </si>
  <si>
    <t xml:space="preserve">Audit ID</t>
  </si>
  <si>
    <t xml:space="preserve">Chunk / Phase</t>
  </si>
  <si>
    <t xml:space="preserve">Capability Name</t>
  </si>
  <si>
    <t xml:space="preserve">Target Files &amp; Symbols</t>
  </si>
  <si>
    <t xml:space="preserve">Expected Behavior &amp; Outcomes</t>
  </si>
  <si>
    <t xml:space="preserve">Edge Cases &amp; Refusal Conditions</t>
  </si>
  <si>
    <t xml:space="preserve">Verification Command / Test Function</t>
  </si>
  <si>
    <t xml:space="preserve">Automated Test Status</t>
  </si>
  <si>
    <t xml:space="preserve">Independent LLM Verdict</t>
  </si>
  <si>
    <t xml:space="preserve">Auditor Notes / Evidence</t>
  </si>
  <si>
    <t xml:space="preserve">AUD-01</t>
  </si>
  <si>
    <t xml:space="preserve">Chunk 1: Body-Aware Fingerprinting</t>
  </si>
  <si>
    <t xml:space="preserve">Body Hygiene Metrics &amp; Pattern Separation</t>
  </si>
  <si>
    <t xml:space="preserve">src/spec_surgeon/fingerprint.py (_body_hygiene, fingerprint)</t>
  </si>
  <si>
    <t xml:space="preserve">Computes body_hygiene on word/document.xml (style_regime, dominant_style, normal_ratio, custom_styles, numbering_regime, section_anchor_shape, run_fragmentation_ratio, has_nbsp, has_multi_space, has_rPrChange_in_body, has_pPrChange_in_body, has_proof_err). Clean baseline files keep pattern_id b20e6c1da8; files with divergent body structure (inline section headers, styled regime, numPr numbering) get a distinct pattern_id so messy outliers never hide behind a clean file's pattern.</t>
  </si>
  <si>
    <t xml:space="preserve">Ignores nested textbox paragraphs (w:p inside w:p) when computing top-level body hygiene metrics; distinguishes standalone vs. inline vs. embedded vs. in_table section anchors.</t>
  </si>
  <si>
    <t xml:space="preserve">pytest tests/test_adaptive_messy.py -k test_chunk1_fingerprint_separates_messy_body_from_clean</t>
  </si>
  <si>
    <t xml:space="preserve">PASS</t>
  </si>
  <si>
    <t xml:space="preserve">PARTIAL</t>
  </si>
  <si>
    <t xml:space="preserve">Structural regimes do separate the pattern_id: clean fixture b20e6c1da8, inline-anchor messy fixture bad260afcc (probed). Nested textbox paragraphs are ignored (probed). But whitespace-level mess does NOT change the pattern: a file whose only difference is NBSPs in body text keeps the clean pattern_id (probed), so 'messy outliers never hide' is overbroad — has_nbsp / has_multi_space / has_proof_err / run_fragmentation are descriptive only. Minor: a tab followed by a space counts as has_multi_space; 'SECTION 21 05 00.13' (4-level MasterFormat number) classifies as 'embedded' = separate pattern (conservative). Test passes. Report F8.</t>
  </si>
  <si>
    <t xml:space="preserve">AUD-02</t>
  </si>
  <si>
    <t xml:space="preserve">Chunk 1: Honest Profiling</t>
  </si>
  <si>
    <t xml:space="preserve">Whitespace-Preserving Profile Samples &amp; Hygiene Block</t>
  </si>
  <si>
    <t xml:space="preserve">src/spec_surgeon/profile.py (_clip, profile, bound)</t>
  </si>
  <si>
    <t xml:space="preserve">_clip() preserves internal multiple spaces and non-breaking spaces (\u00a0) in paragraph samples (only normalizing CR/LF) instead of collapsing them with ' '.join(s.split()). Surfaces a top-level hygiene dict in the profile when anomalies exist so the compiler sees real whitespace and structural garbage before emitting regexes.</t>
  </si>
  <si>
    <t xml:space="preserve">Respects MAX_PROFILE_BYTES (18,000 bytes) budget; bound() drops hygiene only after trimming long text and first_paragraphs if needed.</t>
  </si>
  <si>
    <t xml:space="preserve">pytest tests/test_adaptive_messy.py -k test_chunk1_profile_preserves_nbsp_and_surfaces_hygiene</t>
  </si>
  <si>
    <t xml:space="preserve">_clip keeps internal NBSP and double spaces (probed); a leading/trailing NBSP is stripped by str.strip. The hygiene block appears for the messy fixture and not for the clean one (probed). bound() drops hygiene only after first_paragraphs is emptied (probed at limits 2000 → hygiene kept, 1500 → collapsed). SPREADSHEET ERROR: MAX_PROFILE_BYTES is 6,000 (profile.py:31), not 18,000. Report F8.</t>
  </si>
  <si>
    <t xml:space="preserve">AUD-03</t>
  </si>
  <si>
    <t xml:space="preserve">Chunk 1: Range Predicates in Expect</t>
  </si>
  <si>
    <t xml:space="preserve">Min/Max Range Support in EditSpec expect</t>
  </si>
  <si>
    <t xml:space="preserve">src/spec_surgeon/editspec.py (_valid_range_pred, _matches_expect_val, validate_spec, _check_expect)</t>
  </si>
  <si>
    <t xml:space="preserve">Op-level expect checks (text_diffs, property_targets, header_footer_slots, rev_delta) accept {'min': int, 'max': int} range objects in addition to exact integers and prose strings, allowing a single EditSpec to validate across files with varying target counts.</t>
  </si>
  <si>
    <t xml:space="preserve">Rejects booleans or unknown keys inside range dicts (e.g. {'minimum': 1}) with SpecError('spec'); raises JobException('expect') when planned count falls outside [min, max].</t>
  </si>
  <si>
    <t xml:space="preserve">pytest tests/test_adaptive_messy.py -k test_chunk1_expect_supports_min_max_ranges</t>
  </si>
  <si>
    <t xml:space="preserve">Ranges work for all six EXPECT_CHECKS and for rev_delta kinds; {'minimum':1}, {'min':True}, {'min':1.5} and {} are refused as 'spec'; an out-of-range plan raises 'expect' (probed). SPREADSHEET ERROR: property_targets and header_footer_slots are not expect checks (EXPECT_CHECKS = text_diffs, text_diffs_outside_removed_parts, text_diffs_in_kept_parts, members_added, members_removed, rev_delta); a range under either key is refused. Gaps: {'min':5,'max':1} and {'min':-3} pass validation; a misspelled rev_delta kind ('delx') is compared against 0 instead of refused. Report F9.</t>
  </si>
  <si>
    <t xml:space="preserve">AUD-04</t>
  </si>
  <si>
    <t xml:space="preserve">Chunk 1: Mixed-Batch Dry-Plan Gate</t>
  </si>
  <si>
    <t xml:space="preserve">Partial-Batch Dry-Plan Acceptance in Compiler</t>
  </si>
  <si>
    <t xml:space="preserve">src/spec_surgeon/compiler.py (FATAL_SPEC_CODES, PATTERN_SENSITIVE_CODES, _dry_errors)</t>
  </si>
  <si>
    <t xml:space="preserve">Separates fatal schema/contract errors (spec, spec-mode, geometry, conflict, bad-params, unknown-slot, slot-overlap) from pattern-sensitive refusals (unfilled-slot, expect, not-found, ambiguous). Accepts a submitted EditSpec whenever zero fatal errors occur and at least 1 pattern representative plans cleanly (planned_ok &gt;= 1).</t>
  </si>
  <si>
    <t xml:space="preserve">Rejects the EditSpec if any fatal code occurs on any file, OR if planned_ok == 0 across all pattern representatives in the batch.</t>
  </si>
  <si>
    <t xml:space="preserve">pytest tests/test_adaptive_messy.py -k test_chunk1_compiler_accepts_spec_when_clean_majority_plans_and_messy_outlier_fails</t>
  </si>
  <si>
    <t xml:space="preserve">FAIL</t>
  </si>
  <si>
    <t xml:space="preserve">Positive path holds: clean+messy batch accepted; a fatal 'conflict' on one representative rejects the spec; 'not-found' on every representative rejects it (probed). But the refusal 'planned_ok == 0 → reject' is only implemented for the four PATTERN_SENSITIVE_CODES. The ops raise 22 other codes (spans-runs, tracked-format, existing-revisions, section-break, field-result, textbox, table-cell, inheritance, even-odd, title-page, structure, …) that _dry_errors silently drops: a spec failing on EVERY representative with spans-runs or tracked-format is ACCEPTED with planned_ok == 0 (probed); an empty batch is accepted too. No data-loss path (the run sets every file aside), but the gate does not do what this row says and the compiler is never asked to fix the spec. Only the positive path is tested. Report F2.</t>
  </si>
  <si>
    <t xml:space="preserve">AUD-05</t>
  </si>
  <si>
    <t xml:space="preserve">Chunk 2: Set-Aside Sieve &amp; Manifest</t>
  </si>
  <si>
    <t xml:space="preserve">Structured Set-Aside Manifest &amp; Plain-English Reports</t>
  </si>
  <si>
    <t xml:space="preserve">src/spec_surgeon/report.py (FAILURE_EXPLANATIONS, explain_failure, build_set_aside_manifest, write_batch_report); src/spec_surgeon/batch.py (load_set_aside)</t>
  </si>
  <si>
    <t xml:space="preserve">Every batch run writes &lt;out_dir&gt;/set_aside.json (and &lt;out_dir&gt;/SET_ASIDE_REPORT.md plus a Set-Aside section in BATCH_REPORT.md when files are set aside) listing every non-PASS file, its pattern_id, failure code, plain-English category/explanation, engine diagnosis, and body_hygiene. Untouched source files are never overwritten (V9 guard).</t>
  </si>
  <si>
    <t xml:space="preserve">load_set_aside() resolves set_aside.json from a direct file path, a batch output folder, or its run/ subfolder; raises FileNotFoundError if absent.</t>
  </si>
  <si>
    <t xml:space="preserve">pytest tests/test_adaptive_messy.py -k test_chunk2_set_aside_manifest_and_cli_retry_loop</t>
  </si>
  <si>
    <t xml:space="preserve">set_aside.json is always written; SET_ASIDE_REPORT.md and the BATCH_REPORT section appear when files are set aside; item fields as listed; load_set_aside resolves a file path, a folder and folder/run and raises FileNotFoundError when absent (all probed). Sources are never overwritten. Caveats: (1) a file that FAILS verification still leaves its edited copy in outputs/ next to the passing copies (probed with a planted V2 failure) while the report says 'set aside without changes' and the GUI points at outputs/ as 'edited copies'; (2) 'verify-fail' and most refusal codes fall back to the generic 'Refused for Safety … left it untouched' text, wrong for verify-fail. Report F3.</t>
  </si>
  <si>
    <t xml:space="preserve">AUD-06</t>
  </si>
  <si>
    <t xml:space="preserve">Chunk 2: Iterative Rinse &amp; Repeat</t>
  </si>
  <si>
    <t xml:space="preserve">CLI retry / --from-set-aside and GUI load_set_aside Loop</t>
  </si>
  <si>
    <t xml:space="preserve">src/spec_surgeon/cli.py (cmd_do, cmd_retry); src/spec_surgeon/gui.py (Session.load_set_aside, Session.reset_set_aside); src/spec_surgeon/compiler.py (build_messages)</t>
  </si>
  <si>
    <t xml:space="preserve">`spec-surgeon retry &lt;OUT_DIR&gt;` (or `do --from-set-aside &lt;OUT_DIR&gt;`) and GUI `Session.load_set_aside()` load only the set-aside files from the prior pass and inject PRIOR PASS SET-ASIDE DIAGNOSTICS into the compiler prompt so Claude emits a single EditSpec tailored to the remaining outlier files.</t>
  </si>
  <si>
    <t xml:space="preserve">When 0 set-aside files remain in set_aside.json, CLI exits 0 with 'All files already passed in that run — 0 set-aside files remaining' and GUI resets selection cleanly.</t>
  </si>
  <si>
    <t xml:space="preserve">pytest tests/test_adaptive_messy.py -k test_chunk2</t>
  </si>
  <si>
    <t xml:space="preserve">retry / do --from-set-aside load only the manifest's files, inherit the template and request, inject PRIOR PASS SET-ASIDE DIAGNOSTICS (the test asserts the prompt content) and exit 0 with the stated message when 0 remain (code read; test asserts the return code). GUI Session.load_set_aside narrows the file list, keeps the diagnostics for the next compile, and reset_set_aside / a folder change clear it (test + code). Notes: Session.files() silently drops set-aside files that no longer exist on disk; retry loads the manifest twice (harmless).</t>
  </si>
  <si>
    <t xml:space="preserve">AUD-07</t>
  </si>
  <si>
    <t xml:space="preserve">Chunk 3: Garbage-Tolerant Matching</t>
  </si>
  <si>
    <t xml:space="preserve">Flexible Whitespace, NBSP, Dash &amp; Smart-Quote Matching</t>
  </si>
  <si>
    <t xml:space="preserve">src/spec_surgeon/ooxml.py (flexible_regex_from_literal); src/spec_surgeon/ops/replace_text.py (ReplaceText.plan)</t>
  </si>
  <si>
    <t xml:space="preserve">When replace_text has `flexible_whitespace: true`, ASCII spaces in `find` match any run of spaces/tabs/NBSPs (`[\s\u00a0]+`), hyphens match `[-–—]`, and straight quotes match curly quotes, while `select.paragraphs` can scope replacements to specific paragraphs.</t>
  </si>
  <si>
    <t xml:space="preserve">Defaults to `flexible_whitespace: false` so exact literal matching remains unchanged unless enabled; never matches inside deleted text or Word fields.</t>
  </si>
  <si>
    <t xml:space="preserve">pytest tests/test_adaptive_messy.py -k test_chunk3_replace_text_flexible_whitespace_and_noise_coalescing</t>
  </si>
  <si>
    <t xml:space="preserve">flexible_regex_from_literal verified: 'FM Global' matches 'FM\u00a0Global', 'FM  \u00a0 Global' and tab CHARACTERS; hyphen/en/em-dash and straight/curly quote classes as claimed; default false; deleted text and field text are never matched (live_segments). Gap vs this row: a Word tab is a w:tab ELEMENT with no character in the live text, so 'FM&lt;tab&gt;Global' is NOT matched (probed: that occurrence is skipped, the others are replaced). select.paragraphs scoping is implemented but no test covers it.</t>
  </si>
  <si>
    <t xml:space="preserve">AUD-08</t>
  </si>
  <si>
    <t xml:space="preserve">Chunk 3: Noise-Tolerant Coalescing</t>
  </si>
  <si>
    <t xml:space="preserve">Paragraph-Local Run Merging Across Proofing &amp; rPr Noise</t>
  </si>
  <si>
    <t xml:space="preserve">src/spec_surgeon/ooxml.py (NOISE_RPR_LOCALS, INERT_RUN_CHILDREN, rpr_key, merge_adjacent_runs); src/spec_surgeon/ops/replace_text.py</t>
  </si>
  <si>
    <t xml:space="preserve">When `ignore_formatting_noise: true`, paragraph-local run coalescing strips inert `w:proofErr` and `w:lastRenderedPageBreak` elements and ignores non-visual rPr noise (`w:lang`, `w:noProof`, `w:snapToGrid`, `w:webHidden`, `w:cs`, `w:eastAsianLayout`, redundant `w:szCs`, and default black/auto color) when comparing adjacent runs.</t>
  </si>
  <si>
    <t xml:space="preserve">Never merges runs across different revision wrappers (`w:ins`/`w:del`) or runs with genuine visual formatting differences (bold, italic, font name, font size, highlight); still raises `spans-runs` if visual formatting differs.</t>
  </si>
  <si>
    <t xml:space="preserve">Merging never crosses w:ins/w:del (merge parents are p / ins / hyperlink / sdtContent only) and visual rPr differences still raise spans-runs (code + test). Concerns: (1) w:cs (complex-script flag) is in NOISE_RPR_LOCALS but is not non-visual — it switches the run to the cs font / szCs size; two runs differing only by w:cs merge and the absorbed run loses the flag (probed; suite PASS because V10 excludes text-edited blocks). eastAsianLayout and snapToGrid are layout-affecting too. (2) With ignore_formatting_noise every w:proofErr / lastRenderedPageBreak in the edited paragraph is removed, not just around the match (probed 3 → 0), unpredicted and unverified. Report F4, F10.</t>
  </si>
  <si>
    <t xml:space="preserve">AUD-09</t>
  </si>
  <si>
    <t xml:space="preserve">Chunk 3: Tracked-Format Split</t>
  </si>
  <si>
    <t xml:space="preserve">Safe Splitting of Runs Carrying w:rPrChange</t>
  </si>
  <si>
    <t xml:space="preserve">src/spec_surgeon/ops/replace_text.py (_predict_paragraph, _apply_tracked); src/spec_surgeon/verify/props.py (_rpr_sig_for_tc)</t>
  </si>
  <si>
    <t xml:space="preserve">When `allow_tracked_format_split: true`, splitting a run that carries a pending `w:rPrChange` assigns fresh sequential `w:id` values to each additional split run fragment and predicts the exact `rev_delta['rPrChange']` so V4 (revision counts &amp; unique IDs), V5c (revision grammar), and V10 pass.</t>
  </si>
  <si>
    <t xml:space="preserve">Defaults to `allow_tracked_format_split: false`, which continues to raise `JobException('tracked-format')` unless explicitly enabled.</t>
  </si>
  <si>
    <t xml:space="preserve">pytest tests/test_adaptive_messy.py -k test_chunk3_replace_text_allow_tracked_format_split</t>
  </si>
  <si>
    <t xml:space="preserve">The op is correct: exact rPrChange delta predicted for a match at the start, middle and end of the rPrChange run (Δ2 / Δ3 / Δ2, suite PASS each); fresh ids assigned; default still refuses with tracked-format (test). The claimed safety net is missing: a planted output whose four rPrChange copies all carry the source id 900 passes V4 ('ids unique'), V5c and V10 — V4's collision check only looks at (part, kind, id) tuples absent from the source, so duplicates that reuse a source id are invisible. Also the replace_text module docstring still says split fragments 'drop the duplicate w:rPrChange' (stale). Report F1.</t>
  </si>
  <si>
    <t xml:space="preserve">AUD-10</t>
  </si>
  <si>
    <t xml:space="preserve">Chunk 3: Fallback Slot Chains</t>
  </si>
  <si>
    <t xml:space="preserve">Header/Footer Template Slot `first_match` Chains &amp; Multi-Anchor Consensus</t>
  </si>
  <si>
    <t xml:space="preserve">src/spec_surgeon/ops/slots.py (extract_fill, rule_uses_literal); src/spec_surgeon/verify/template.py (fill_value); src/spec_surgeon/compiler.py (placed_words)</t>
  </si>
  <si>
    <t xml:space="preserve">Independently implemented in both `ops/slots.py` and `verify/template.py` (with zero shared imports): supports `{'rule': 'first_match', 'rules': [...]}` fallback rule chains, `flexible_whitespace` (default `true`), `occurrence: 'first' | 'all'`, and multi-anchor consensus in `paragraph_after` when repeated headers are followed by identical titles.</t>
  </si>
  <si>
    <t xml:space="preserve">Syntax errors (`bad-params`) in any sub-rule raise immediately rather than being swallowed by `first_match`; `compiler.placed_words()` recursively inspects `first_match` sub-rules to enforce verbatim traceability on any nested `literal` rule.</t>
  </si>
  <si>
    <t xml:space="preserve">pytest tests/test_adaptive_messy.py -k test_chunk3_template_fallback_chain_handles_clean_and_messy_in_single_pass</t>
  </si>
  <si>
    <t xml:space="preserve">Transform (ops/slots.extract_fill) and verifier (verify/template.fill_value) agree on first_match, the whitespace-normalised regex/anchor fallback, occurrence and multi-anchor consensus (probed: two anchors with different titles → ambiguous on both sides; occurrence 'first' → first on both). A bad sub-regex is refused immediately as bad-params (probed); placed_words finds a literal nested two levels deep (probed); rule_uses_literal makes the op untracked. Notes: the verifier skips a malformed sub-rule instead of failing (moot — the transform refuses first); with flexible_whitespace (default true) a fill containing NBSP is normalised to a plain space on both sides, so the header gets U+0020 where the body had U+00A0; the compiler-facing catalog never mentions first_match / occurrence / flexible_whitespace for slot rules (slot_fills description still reads 'literal|regex|paragraph_after'), so Pass 2 relies on the model guessing the syntax. Report F5, F11.</t>
  </si>
  <si>
    <t xml:space="preserve">AUD-11</t>
  </si>
  <si>
    <t xml:space="preserve">Chunk 4: Messy-Doc Selectors</t>
  </si>
  <si>
    <t xml:space="preserve">Structural &amp; Visual Paragraph Selectors for Unstyled Docs</t>
  </si>
  <si>
    <t xml:space="preserve">src/spec_surgeon/ops/selectors.py (check_paragraph_selector, paragraph_selected); src/spec_surgeon/verify/props.py (para_matches)</t>
  </si>
  <si>
    <t xml:space="preserve">Independently implemented in both `ops/selectors.py` and `verify/props.py`: adds `has_bold` (bool, effective bold across run/rStyle/pStyle lineage on non-empty live runs), `is_all_caps` (bool, uppercase live text or effective `w:caps`), `after_heading_regex` (str), `between_paragraphs` (`{'start_regex', 'end_regex', 'include_bounds'}`), and fallback regex matching against tab/NBSP-normalized text.</t>
  </si>
  <si>
    <t xml:space="preserve">Validates regex syntax and boolean/dict types up front (`bad-params`); ignores deleted runs (`w:del`/`w:moveFrom`) when evaluating `has_bold` and `is_all_caps`.</t>
  </si>
  <si>
    <t xml:space="preserve">pytest tests/test_adaptive_messy.py -k test_chunk4_messy_doc_selectors_between_paragraphs_bold_and_all_caps</t>
  </si>
  <si>
    <t xml:space="preserve">Transform and verifier selectors agree on every probe over a hand-built fixture with style-bold, rStyle-bold, direct b=0 override, bold only inside w:del, caps via style, digits-only and mixed-case paragraphs (13 predicates, 0 disagreements). A deliberately wrong transform-side has_bold (direct w:b only) shared by plan and apply is caught by V10 (expected_runs mismatch). Up-front validation as listed (bad-params). Notes: has_bold / is_all_caps take the nearest style level (no 'set at several levels' refusal, unlike the effective-property resolver); after_heading_regex / between_paragraphs regexes have no tab/NBSP fallback (text_regex does); only the first start_regex match is used.</t>
  </si>
  <si>
    <t xml:space="preserve">AUD-12</t>
  </si>
  <si>
    <t xml:space="preserve">Chunk 4: Paragraph Deletion Op</t>
  </si>
  <si>
    <t xml:space="preserve">`delete_paragraphs` Operation (Tracked &amp; Untracked) + V10 Assertion</t>
  </si>
  <si>
    <t xml:space="preserve">src/spec_surgeon/ops/delete_paragraphs.py (DeleteParagraphs); src/spec_surgeon/verify/props.py (_deleted_paragraphs, _residual_text_part)</t>
  </si>
  <si>
    <t xml:space="preserve">Deletes paragraphs matching a targeted selector. Tracked mode (`tracked: true`) marks the paragraph mark (`w:pPr/w:rPr/w:del`) and wraps runs in `w:del` with `w:delText`, predicting `rev_delta` (`del` + `del_mark`) and `accepted_views: ''` so V2, V4, V5b (reject-all == source), V8 (accept-all == empty), and V10 (`deleted_paragraphs`) pass. Untracked mode (`tracked: false`) removes the `w:p` element and enumerates `BlockDiff(after=None)`.</t>
  </si>
  <si>
    <t xml:space="preserve">Refuses non-targeted selectors (`paragraphs: 'all'` -&gt; `bad-params`), paragraphs carrying `w:sectPr` (`section-break`), fields (`field-result`), textboxes (`textbox`), existing revisions in tracked mode (`existing-revisions`), or deleting all paragraphs of a table cell (`table-cell`). Planted defect test proves V4 and V10 fail if `w:pPr/w:rPr/w:del` is omitted.</t>
  </si>
  <si>
    <t xml:space="preserve">pytest tests/test_adaptive_messy.py -k test_chunk4_delete_paragraphs_tracked_and_untracked_and_planted_defects</t>
  </si>
  <si>
    <t xml:space="preserve">Tracked and untracked deletion pass the suite; V7 is N/A by design (geometry_reference 'none'), V6 PASS under LibreOffice. Planted defects beyond the author's: mark deleted but runs left live → V4/V8/V10 FAIL; deletion applied to the neighbouring paragraph → V4/V8/V10 FAIL; untracked deletion that also removes a second paragraph → V2/V5b/V10 FAIL. Refusals as listed (bad-params for 'all', section-break, field-result, existing-revisions, table-cell; probed). Limitation: tracked mode refuses ANY non-run child, so a paragraph holding Word's near-universal _GoBack bookmark is refused with 'structure' (probed); untracked mode deletes it, bookmark included, with no flag. Report F7.</t>
  </si>
  <si>
    <t xml:space="preserve">AUD-13</t>
  </si>
  <si>
    <t xml:space="preserve">Chunk 4: Paragraph Insertion Op</t>
  </si>
  <si>
    <t xml:space="preserve">`insert_paragraph` Operation (Tracked &amp; Untracked) + V8/V10 &amp; Traceability</t>
  </si>
  <si>
    <t xml:space="preserve">src/spec_surgeon/ops/insert_paragraph.py (InsertParagraph); src/spec_surgeon/verify/props.py (_inserted_paragraphs); src/spec_surgeon/verify/suite.py (run_suite V8); src/spec_surgeon/compiler.py (placed_words)</t>
  </si>
  <si>
    <t xml:space="preserve">Inserts a paragraph containing the user's exact wording `before` or `after` anchor paragraphs matching a targeted selector, inheriting the anchor's `pStyle` by default (`style: 'inherit'`). Tracked mode marks the paragraph mark (`w:pPr/w:rPr/w:ins`) and wraps the run in `w:ins`, verified by V2, V4 (`+1 ins`, `+1 ins_mark`), V5b (reject-all merges empty paragraph mark back to source), V8 (inserted block in accept-all view), and V10 (`inserted_paragraphs`).</t>
  </si>
  <si>
    <t xml:space="preserve">`compiler.placed_words()` enforces that `insert_paragraph.text` appears verbatim in the user's prompt/answers/memory; refuses non-targeted selectors (`bad-params`), inserting `after` a paragraph carrying `w:sectPr` (`section-break`), or unknown style IDs (`bad-params`). Planted defect test proves V2, V8, and V10 fail if 1 character of inserted text is altered.</t>
  </si>
  <si>
    <t xml:space="preserve">pytest tests/test_adaptive_messy.py -k test_chunk4_insert_paragraph_tracked_and_untracked_and_planted_defects</t>
  </si>
  <si>
    <t xml:space="preserve">Tracked and untracked insertion pass; V7 N/A by design, V6 PASS under LibreOffice (pages 3 → 3). Planted defects beyond the author's: inserted one block too late → V8/V10 FAIL; w:ins wrapper missing → V4/V5b/V8/V10 FAIL; mark w:ins missing → V4/V5b/V8/V10 FAIL; wrong style → V10 FAIL. Refusals: after a sectPr paragraph (section-break), unknown style, blank text (probed); before a sectPr paragraph and before block 0 are allowed; two inserts in one part are a 'conflict'. Limitation: the new paragraph carries only pStyle — no run properties and no direct paragraph properties from the anchor (probed: after a Courier New / bold / 9 pt hanging-indent anchor the output is a bare &lt;w:p&gt;&lt;w:r&gt;&lt;w:t&gt;), so in all-Normal documents the inserted text will not look like its neighbours. A tab in the text is stored as a literal U+0009 inside w:t, not a w:tab (renders in LibreOffice; Word not tested here). Report F6.</t>
  </si>
  <si>
    <t xml:space="preserve">Spec Surgeon v0.3.0 — Core Architectural Invariants &amp; V1–V10 Verification Contract</t>
  </si>
  <si>
    <t xml:space="preserve">Non-negotiable safety invariants that must hold across all v0.3.0 operations and mixed-batch runs.</t>
  </si>
  <si>
    <t xml:space="preserve">Check / Invariant ID</t>
  </si>
  <si>
    <t xml:space="preserve">Category</t>
  </si>
  <si>
    <t xml:space="preserve">Invariant / Check Name</t>
  </si>
  <si>
    <t xml:space="preserve">Enforced By (Module &amp; Function)</t>
  </si>
  <si>
    <t xml:space="preserve">Strict Contract &amp; v0.3.0 Requirement</t>
  </si>
  <si>
    <t xml:space="preserve">Planted-Defect / Audit Test</t>
  </si>
  <si>
    <t xml:space="preserve">Status</t>
  </si>
  <si>
    <t xml:space="preserve">INV-01</t>
  </si>
  <si>
    <t xml:space="preserve">Architecture</t>
  </si>
  <si>
    <t xml:space="preserve">Transform / Verifier Zero-Shared-Code Independence</t>
  </si>
  <si>
    <t xml:space="preserve">src/spec_surgeon/verify/* (all modules)</t>
  </si>
  <si>
    <t xml:space="preserve">Nothing under verify/ may import from ops/, jobs/, or ooxml.py. Selector resolution (ops/selectors.py vs verify/props.py) and slot extraction (ops/slots.py vs verify/template.py) are implemented twice independently so a bug in the transform cannot hide behind the same bug in the check.</t>
  </si>
  <si>
    <t xml:space="preserve">pytest -k 'test_verifier_imports_nothing_from_transform or test_verifier_catches_selector_divergence'</t>
  </si>
  <si>
    <t xml:space="preserve">Holds. tests/test_independence.py AST-scans verify/ for imports of jobs / ops / editspec / ooxml / package and passes; an import grep shows verify/ imports only verify-internal modules plus pymupdf. The divergence test is tests/test_ops.py::test_set_font_selector_bug_shared_by_plan_and_apply_is_caught, and my own has_bold divergence probe was caught by V10. COLUMN F ERROR: the two test names do not exist — the command selects 0 tests (178 deselected, exit code 5).</t>
  </si>
  <si>
    <t xml:space="preserve">INV-02</t>
  </si>
  <si>
    <t xml:space="preserve">Verbatim Content Traceability Gate</t>
  </si>
  <si>
    <t xml:space="preserve">src/spec_surgeon/compiler.py (placed_words, untraceable)</t>
  </si>
  <si>
    <t xml:space="preserve">Every character placed into a document (replace_text.replace, insert_paragraph.text, or any literal rule inside apply_header_footer_template including nested first_match chains) must appear verbatim in the user's prompt, answers, or PROJECT.json.</t>
  </si>
  <si>
    <t xml:space="preserve">pytest tests/test_compiler.py tests/test_adaptive_messy.py -k untraceable</t>
  </si>
  <si>
    <t xml:space="preserve">placed_words covers replace_text.replace, insert_paragraph.text and literal rules at any first_match depth (probed); untraceable is whitespace-insensitive. The gate runs on compiler submissions (hand-written specs are the user's own words, by design). COLUMN F ERROR: '-k untraceable' selects 0 tests (no test function has that name); the real coverage is tests/test_compiler.py and the chunk-4 insert test.</t>
  </si>
  <si>
    <t xml:space="preserve">INV-03</t>
  </si>
  <si>
    <t xml:space="preserve">Single-EditSpec Set-Aside Sieve</t>
  </si>
  <si>
    <t xml:space="preserve">src/spec_surgeon/compiler.py, batch.py, report.py, cli.py, gui.py</t>
  </si>
  <si>
    <t xml:space="preserve">Each pass compiles and executes a single validated EditSpec. Outlier files that fail planning or verification are never guessed on or overwritten; they are left untouched and recorded in set_aside.json and SET_ASIDE_REPORT.md for the next `spec-surgeon retry` pass.</t>
  </si>
  <si>
    <t xml:space="preserve">PASS (caveat)</t>
  </si>
  <si>
    <t xml:space="preserve">One compiled spec per pass (compile_request → run_batch); EXCEPTION files produce no output at all; FAIL files are never delivered in place (V9 'not delivered'). Caveat: a FAIL file's edited copy remains in outputs/ beside the passing copies (see AUD-05 / report F3).</t>
  </si>
  <si>
    <t xml:space="preserve">V1</t>
  </si>
  <si>
    <t xml:space="preserve">Verification Suite</t>
  </si>
  <si>
    <t xml:space="preserve">Package &amp; Member Byte-Identity Outside Intended Parts</t>
  </si>
  <si>
    <t xml:space="preserve">src/spec_surgeon/verify/suite.py (run_suite V1)</t>
  </si>
  <si>
    <t xml:space="preserve">Every ZIP member outside plan.intended_parts must be byte-for-byte identical to the source .docx; no orphaned relationship targets or new integrity problems.</t>
  </si>
  <si>
    <t xml:space="preserve">pytest tests/test_verify_catches_defects.py -k V1</t>
  </si>
  <si>
    <t xml:space="preserve">As described: changed ⊆ intended, members added/removed exact and in order, new integrity problems, orphaned members. COLUMN F ERROR: tests/test_verify_catches_defects.py does not exist; coverage is tests/test_verifier_ext.py and tests/test_engine.py::test_verifier_catches_planted_defects.</t>
  </si>
  <si>
    <t xml:space="preserve">V2</t>
  </si>
  <si>
    <t xml:space="preserve">Enumerated Block Full-Text Diffs</t>
  </si>
  <si>
    <t xml:space="preserve">src/spec_surgeon/verify/suite.py (run_suite V2)</t>
  </si>
  <si>
    <t xml:space="preserve">Every paragraph's full text (including w:delText) must be identical to the source except for the exact BlockDiff entries predicted in plan.diffs (supports modified blocks, untracked deleted blocks with after=None, and inserted blocks with before=None).</t>
  </si>
  <si>
    <t xml:space="preserve">pytest tests/test_adaptive_messy.py -k 'delete_paragraphs or insert_paragraph'</t>
  </si>
  <si>
    <t xml:space="preserve">difflib alignment on block text; modified blocks, deleted blocks (after=None) and inserted blocks (before=None) all handled. Planted extra untracked deletion and altered inserted text are caught (probed).</t>
  </si>
  <si>
    <t xml:space="preserve">V3</t>
  </si>
  <si>
    <t xml:space="preserve">Structural Children Preservation</t>
  </si>
  <si>
    <t xml:space="preserve">src/spec_surgeon/verify/suite.py (run_suite V3)</t>
  </si>
  <si>
    <t xml:space="preserve">Drawings, tables, fields, hyperlinks, bookmarks, comments, footnotes, and section breaks across all text parts must match predicted structural deltas.</t>
  </si>
  <si>
    <t xml:space="preserve">pytest tests/test_verify_catches_defects.py -k V3</t>
  </si>
  <si>
    <t xml:space="preserve">Per-block structural counts on aligned blocks; a declared struct_after is honoured. COLUMN F ERROR: the cited test file does not exist.</t>
  </si>
  <si>
    <t xml:space="preserve">V4</t>
  </si>
  <si>
    <t xml:space="preserve">Revision Count Delta &amp; Globally Unique w:id</t>
  </si>
  <si>
    <t xml:space="preserve">src/spec_surgeon/verify/suite.py (run_suite V4)</t>
  </si>
  <si>
    <t xml:space="preserve">Exact delta per revision kind (ins, del, ins_mark, del_mark, rPrChange, pPrChange, sectPrChange) must equal plan.rev_delta, and every new revision wrapper (including split rPrChange elements) must have a unique w:id.</t>
  </si>
  <si>
    <t xml:space="preserve">pytest tests/test_adaptive_messy.py -k 'allow_tracked_format_split or delete_paragraphs'</t>
  </si>
  <si>
    <t xml:space="preserve">Delta per kind is exact (incl. ins_mark / del_mark / rPrChange) and new ins/del ids are checked for duplicates. The uniqueness claim does NOT hold for split rPrChange elements: duplicate detection covers ins/del ids and 'new' (part, kind, id) tuples only, so a planted output with four rPrChange elements all carrying the source id 900 passes with 'ids unique' (and passes V5c and V10). Report F1.</t>
  </si>
  <si>
    <t xml:space="preserve">V5a</t>
  </si>
  <si>
    <t xml:space="preserve">Non-Target Part Byte Identity</t>
  </si>
  <si>
    <t xml:space="preserve">src/spec_surgeon/verify/suite.py (run_suite V5a)</t>
  </si>
  <si>
    <t xml:space="preserve">Every XML part not listed in plan.intended_parts (or template baseline) is byte-identical.</t>
  </si>
  <si>
    <t xml:space="preserve">pytest tests/test_verify_catches_defects.py</t>
  </si>
  <si>
    <t xml:space="preserve">XSD against the source (or template) baseline for changed and added parts; it is what catches a mis-ordered rPrChange (planted 'rPrChange first' → V5a and V10 FAIL). COLUMN F ERROR: the cited test file does not exist.</t>
  </si>
  <si>
    <t xml:space="preserve">V5b</t>
  </si>
  <si>
    <t xml:space="preserve">Reject-All Equivalence / Untracked Enumerated Mode</t>
  </si>
  <si>
    <t xml:space="preserve">src/spec_surgeon/verify/suite.py (run_suite V5b)</t>
  </si>
  <si>
    <t xml:space="preserve">For tracked edits (replace_text, delete_paragraphs, insert_paragraph, formatting ops), rejecting all new revisions must yield a document whose block text and structure equal the original source.</t>
  </si>
  <si>
    <t xml:space="preserve">pytest tests/test_adaptive_messy.py</t>
  </si>
  <si>
    <t xml:space="preserve">Reject-all text equality with paragraph-mark merging (textcheck.view_texts); planted un-wrapped insertion and missing insertion mark are caught.</t>
  </si>
  <si>
    <t xml:space="preserve">V5c</t>
  </si>
  <si>
    <t xml:space="preserve">OOXML Revision Grammar &amp; Property Snapshots</t>
  </si>
  <si>
    <t xml:space="preserve">src/spec_surgeon/verify/suite.py (run_suite V5c)</t>
  </si>
  <si>
    <t xml:space="preserve">w:del contains w:delText (never w:t); w:ins contains w:t (never w:delText); w:rPrChange and w:pPrChange sit last in rPr/pPr with valid id, author, date, and pre-edit snapshot.</t>
  </si>
  <si>
    <t xml:space="preserve">Grammar (delText/t placement, id+author on wrappers, xml:space on edge whitespace, snapshot shape) is checked and a planted empty snapshot is caught. The 'sit last in rPr/pPr' claim is NOT checked by V5c: a planted output with rPrChange as the first rPr child passes V5c (V5a and V10 catch it). COLUMN F ERROR: the cited test file does not exist.</t>
  </si>
  <si>
    <t xml:space="preserve">V8</t>
  </si>
  <si>
    <t xml:space="preserve">Accept-All View Exactness</t>
  </si>
  <si>
    <t xml:space="preserve">src/spec_surgeon/verify/suite.py (run_suite V8)</t>
  </si>
  <si>
    <t xml:space="preserve">Accepting all new revisions in the output produces the exact predicted accepted_view for every modified, deleted (empty string), and inserted (at exact output block index) paragraph.</t>
  </si>
  <si>
    <t xml:space="preserve">Accept view exact for modified, deleted ('') and inserted blocks at the predicted output index (planted wrong position caught). Note: V8's accept simulation does not merge a mark-deleted paragraph into the next one (it uses blocks(), not view_texts) — internally consistent with the predicted '' view, but not Word's paragraph count.</t>
  </si>
  <si>
    <t xml:space="preserve">V9</t>
  </si>
  <si>
    <t xml:space="preserve">Source File Immutability Guard</t>
  </si>
  <si>
    <t xml:space="preserve">src/spec_surgeon/guard.py, batch.py (V9)</t>
  </si>
  <si>
    <t xml:space="preserve">Source .docx SHA-256 is recorded before acquisition and verified before delivery; in-place delivery happens only after V1–V8 and V10 PASS.</t>
  </si>
  <si>
    <t xml:space="preserve">guard.write_back runs only when record.passed (no FAIL in any check, V6/V7 included) and the output is not a no-op; identity, drift and lock-file checks live in guard.py. COLUMN F ERROR: the cited test file does not exist.</t>
  </si>
  <si>
    <t xml:space="preserve">V10</t>
  </si>
  <si>
    <t xml:space="preserve">Independent Property Assertions &amp; Residual Identity</t>
  </si>
  <si>
    <t xml:space="preserve">src/spec_surgeon/verify/props.py (check_properties V10)</t>
  </si>
  <si>
    <t xml:space="preserve">Re-resolves selectors independently (including has_bold, is_all_caps, after_heading_regex, between_paragraphs) and verifies run_fonts, style_fonts, doc_defaults_fonts, paragraph_props, section_props, effective_font, deleted_paragraphs, inserted_paragraphs, and template_parts, then strips covered changes and proves the residual XML is identical.</t>
  </si>
  <si>
    <t xml:space="preserve">Independent selectors including the four new predicates (0 disagreements on the edge-case fixture; a planted divergence is caught), kinds as listed plus hf_template_refs / template_parts / styles_added, residual identity. Note: text-edited blocks are excluded from the residual after a pPr-identity and run-signature check, so non-text changes inside them (proofErr removal, a w:cs flag dropped by the noise merge) are not verified.</t>
  </si>
  <si>
    <t xml:space="preserve">V6</t>
  </si>
  <si>
    <t xml:space="preserve">Render and Look (omitted from the author's tab)</t>
  </si>
  <si>
    <t xml:space="preserve">src/spec_surgeon/batch.py (run_batch, render step)</t>
  </si>
  <si>
    <t xml:space="preserve">Every verified output and its source are rendered (Word or LibreOffice); page counts recorded; changed pages rasterized for a human look. N/A only when rendering is disabled or no renderer exists.</t>
  </si>
  <si>
    <t xml:space="preserve">Independent probe: run_batch with renderer='libreoffice' on insert_paragraph and delete_paragraphs batches</t>
  </si>
  <si>
    <t xml:space="preserve">(not in author's tab)</t>
  </si>
  <si>
    <t xml:space="preserve">Not listed by the author. Probed with LibreOffice on both new ops: V6 PASS, pages 3 → 3, pages rasterized.</t>
  </si>
  <si>
    <t xml:space="preserve">V7</t>
  </si>
  <si>
    <t xml:space="preserve">Geometry Assertion (omitted from the author's tab)</t>
  </si>
  <si>
    <t xml:space="preserve">src/spec_surgeon/batch.py (geometry_check); ops/delete_paragraphs.py, ops/insert_paragraph.py (geometry_reference)</t>
  </si>
  <si>
    <t xml:space="preserve">Word positions of the output vs the source render within 0.5 pt on pages not expected to change; 'none' only with a stated reason; 'template' compares headers/footers-only renders page for page.</t>
  </si>
  <si>
    <t xml:space="preserve">Independent probe: same batches as V6</t>
  </si>
  <si>
    <t xml:space="preserve">N/A by design</t>
  </si>
  <si>
    <t xml:space="preserve">Not listed by the author. Both new ops declare geometry_reference 'none' with a reason ('inserting/deleting paragraph(s) reflows following content'), so V7 records N/A with informational numbers (max |Δy| 36.4 pt after an insertion; 0.0 pt for a tracked deletion). Consistent with the plan's rule that a layout reference may only be dropped for a stated reason.</t>
  </si>
  <si>
    <t xml:space="preserve">Spec Surgeon v0.3.0 — Complete Inventory of Added &amp; Modified Files (25 Files)</t>
  </si>
  <si>
    <t xml:space="preserve">Reference manifest of every file touched in the v0.3.0 upgrade (+2,232 lines / -188 lines).</t>
  </si>
  <si>
    <t xml:space="preserve">File Path</t>
  </si>
  <si>
    <t xml:space="preserve">Change Type</t>
  </si>
  <si>
    <t xml:space="preserve">Chunk</t>
  </si>
  <si>
    <t xml:space="preserve">Lines Added</t>
  </si>
  <si>
    <t xml:space="preserve">Lines Removed</t>
  </si>
  <si>
    <t xml:space="preserve">Summary of v0.3.0 Changes</t>
  </si>
  <si>
    <t xml:space="preserve">Repo Check (2026-10-14)</t>
  </si>
  <si>
    <t xml:space="preserve">Auditor Notes</t>
  </si>
  <si>
    <t xml:space="preserve">src/spec_surgeon/fingerprint.py</t>
  </si>
  <si>
    <t xml:space="preserve">Modified</t>
  </si>
  <si>
    <t xml:space="preserve">Chunk 1</t>
  </si>
  <si>
    <t xml:space="preserve">Added _body_hygiene() metrics and conditional body_structure inclusion in pattern_id.</t>
  </si>
  <si>
    <t xml:space="preserve">exists; +/− unverifiable (no v0.2.0 baseline in git)</t>
  </si>
  <si>
    <t xml:space="preserve">src/spec_surgeon/profile.py</t>
  </si>
  <si>
    <t xml:space="preserve">Preserved NBSP/multiple spaces in _clip() and surfaced top-level hygiene anomaly dict.</t>
  </si>
  <si>
    <t xml:space="preserve">MAX_PROFILE_BYTES is 6,000 here, not the 18,000 stated on tab 1.</t>
  </si>
  <si>
    <t xml:space="preserve">src/spec_surgeon/editspec.py</t>
  </si>
  <si>
    <t xml:space="preserve">Added {'min': ..., 'max': ...} range predicate validation and evaluation in expect checks.</t>
  </si>
  <si>
    <t xml:space="preserve">src/spec_surgeon/compiler.py</t>
  </si>
  <si>
    <t xml:space="preserve">Chunks 1–4</t>
  </si>
  <si>
    <t xml:space="preserve">Split FATAL_SPEC_CODES vs PATTERN_SENSITIVE_CODES; added prior_failures prompt injection; added insert_paragraph.text and recursive first_match literal traceability.</t>
  </si>
  <si>
    <t xml:space="preserve">Gate ignores 22 refusal codes (report F2). Catalog never mentions first_match or expect ranges (F5).</t>
  </si>
  <si>
    <t xml:space="preserve">src/spec_surgeon/report.py</t>
  </si>
  <si>
    <t xml:space="preserve">Chunk 2</t>
  </si>
  <si>
    <t xml:space="preserve">Added FAILURE_EXPLANATIONS, build_set_aside_manifest(), set_aside.json, and SET_ASIDE_REPORT.md generation.</t>
  </si>
  <si>
    <t xml:space="preserve">src/spec_surgeon/batch.py</t>
  </si>
  <si>
    <t xml:space="preserve">Added load_set_aside() helper resolving set_aside.json from output folders.</t>
  </si>
  <si>
    <t xml:space="preserve">FAIL outputs remain in outputs/ (F3) — pre-existing behaviour.</t>
  </si>
  <si>
    <t xml:space="preserve">src/spec_surgeon/cli.py</t>
  </si>
  <si>
    <t xml:space="preserve">Added `spec-surgeon retry` subcommand and `--from-set-aside` flag on `spec-surgeon do`.</t>
  </si>
  <si>
    <t xml:space="preserve">src/spec_surgeon/gui.py</t>
  </si>
  <si>
    <t xml:space="preserve">Added Session.load_set_aside(), Session.reset_set_aside(), and 'Load set-aside files' GUI button.</t>
  </si>
  <si>
    <t xml:space="preserve">src/spec_surgeon/ooxml.py</t>
  </si>
  <si>
    <t xml:space="preserve">Chunk 3</t>
  </si>
  <si>
    <t xml:space="preserve">Added flexible_regex_from_literal(), NOISE_RPR_LOCALS, INERT_RUN_CHILDREN, and noise-tolerant merge_adjacent_runs().</t>
  </si>
  <si>
    <t xml:space="preserve">w:cs in NOISE_RPR_LOCALS is not non-visual (F4).</t>
  </si>
  <si>
    <t xml:space="preserve">src/spec_surgeon/ops/replace_text.py</t>
  </si>
  <si>
    <t xml:space="preserve">Added flexible_whitespace, ignore_formatting_noise, allow_tracked_format_split, and select.paragraphs support.</t>
  </si>
  <si>
    <t xml:space="preserve">Module docstring says split fragments drop the duplicate rPrChange; code keeps it with fresh ids.</t>
  </si>
  <si>
    <t xml:space="preserve">src/spec_surgeon/ops/slots.py</t>
  </si>
  <si>
    <t xml:space="preserve">Added first_match fallback chains, flexible_whitespace (default True), occurrence, and multi-anchor consensus.</t>
  </si>
  <si>
    <t xml:space="preserve">src/spec_surgeon/ops/apply_header_footer_template.py</t>
  </si>
  <si>
    <t xml:space="preserve">Updated literal mode detection to use rule_uses_literal() across fallback chains.</t>
  </si>
  <si>
    <t xml:space="preserve">src/spec_surgeon/verify/template.py</t>
  </si>
  <si>
    <t xml:space="preserve">Independently implemented first_match, flexible_whitespace, occurrence, and multi-anchor consensus in verifier.</t>
  </si>
  <si>
    <t xml:space="preserve">src/spec_surgeon/ops/selectors.py</t>
  </si>
  <si>
    <t xml:space="preserve">Chunk 4</t>
  </si>
  <si>
    <t xml:space="preserve">Added has_bold, is_all_caps, after_heading_regex, between_paragraphs, and tab/NBSP-normalized regex matching.</t>
  </si>
  <si>
    <t xml:space="preserve">src/spec_surgeon/ops/delete_paragraphs.py</t>
  </si>
  <si>
    <t xml:space="preserve">Added (New)</t>
  </si>
  <si>
    <t xml:space="preserve">New op: tracked (w:del + w:pPr/w:rPr/w:del) and untracked paragraph deletion with safety guards.</t>
  </si>
  <si>
    <t xml:space="preserve">exists; 214 lines (matches)</t>
  </si>
  <si>
    <t xml:space="preserve">Line count matches. Tracked mode refuses bookmarked paragraphs (F7).</t>
  </si>
  <si>
    <t xml:space="preserve">src/spec_surgeon/ops/insert_paragraph.py</t>
  </si>
  <si>
    <t xml:space="preserve">New op: tracked and untracked paragraph insertion before/after anchor paragraphs with style inheritance.</t>
  </si>
  <si>
    <t xml:space="preserve">Line count matches. Only pStyle is inherited (F6).</t>
  </si>
  <si>
    <t xml:space="preserve">src/spec_surgeon/ops/__init__.py</t>
  </si>
  <si>
    <t xml:space="preserve">Registered delete_paragraphs and insert_paragraph operations.</t>
  </si>
  <si>
    <t xml:space="preserve">src/spec_surgeon/catalog.py</t>
  </si>
  <si>
    <t xml:space="preserve">Added delete_paragraphs, insert_paragraph, and new selector grammar to the compiler op catalog.</t>
  </si>
  <si>
    <t xml:space="preserve">src/spec_surgeon/verify/props.py</t>
  </si>
  <si>
    <t xml:space="preserve">Chunks 3–4</t>
  </si>
  <si>
    <t xml:space="preserve">Independently implemented new selectors, _deleted_paragraphs, _inserted_paragraphs, and _rpr_sig_for_tc in V10.</t>
  </si>
  <si>
    <t xml:space="preserve">src/spec_surgeon/verify/suite.py</t>
  </si>
  <si>
    <t xml:space="preserve">Added inserted-paragraph accept-view alignment in V8 and pre-existing source grammar subtraction in V5c.</t>
  </si>
  <si>
    <t xml:space="preserve">V4 misses duplicate rPrChange ids that reuse a source id (F1); V5c does not check rPrChange position.</t>
  </si>
  <si>
    <t xml:space="preserve">tests/test_adaptive_messy.py</t>
  </si>
  <si>
    <t xml:space="preserve">10 end-to-end and planted-defect tests covering all 4 chunks.</t>
  </si>
  <si>
    <t xml:space="preserve">exists; 488 lines (matches)</t>
  </si>
  <si>
    <t xml:space="preserve">Holds 12 tests, not 10. All pass. Positive-path only except two output-mutation defects.</t>
  </si>
  <si>
    <t xml:space="preserve">README.md</t>
  </si>
  <si>
    <t xml:space="preserve">Docs</t>
  </si>
  <si>
    <t xml:space="preserve">Documented v0.3.0 mixed-batch capabilities, set-aside workflow, and new operations.</t>
  </si>
  <si>
    <t xml:space="preserve">Line 837 lists w:cs among non-visual noise (F4).</t>
  </si>
  <si>
    <t xml:space="preserve">CLAUDE.md</t>
  </si>
  <si>
    <t xml:space="preserve">Documented v0.3.0 dual-implementation invariants and new modules.</t>
  </si>
  <si>
    <t xml:space="preserve">pyproject.toml</t>
  </si>
  <si>
    <t xml:space="preserve">Meta</t>
  </si>
  <si>
    <t xml:space="preserve">Bumped version from 0.2.0 to 0.3.0.</t>
  </si>
  <si>
    <t xml:space="preserve">src/spec_surgeon/__init__.py</t>
  </si>
  <si>
    <t xml:space="preserve">Bumped __version__ to 0.3.0.</t>
  </si>
  <si>
    <t xml:space="preserve">Total (25 Files)</t>
  </si>
  <si>
    <t xml:space="preserve">every listed file and symbol exists</t>
  </si>
  <si>
    <t xml:space="preserve">Header says +2,232 / −188; the rows sum to 2,209 / 211 (formulas in D30/E30). The repo's first commit (9885e39) is already v0.3.0 and there are no tags, so per-file +/− for modified files cannot be checked. verify/textcheck.py (Block.mark_deleted / mark_inserted, view_texts merging, used by V5b/V8 for the new ops) is not in the inventory; whether it changed in v0.3.0 cannot be determined.</t>
  </si>
</sst>
</file>

<file path=xl/styles.xml><?xml version="1.0" encoding="utf-8"?>
<styleSheet xmlns="http://schemas.openxmlformats.org/spreadsheetml/2006/main">
  <numFmts count="2">
    <numFmt numFmtId="164" formatCode="General"/>
    <numFmt numFmtId="165" formatCode="#,##0"/>
  </numFmts>
  <fonts count="17">
    <font>
      <sz val="11"/>
      <color rgb="FF000000"/>
      <name val="Calibri"/>
      <family val="2"/>
      <charset val="1"/>
    </font>
    <font>
      <sz val="10"/>
      <name val="Arial"/>
      <family val="0"/>
    </font>
    <font>
      <sz val="10"/>
      <name val="Arial"/>
      <family val="0"/>
    </font>
    <font>
      <sz val="10"/>
      <name val="Arial"/>
      <family val="0"/>
    </font>
    <font>
      <b val="true"/>
      <sz val="15"/>
      <color rgb="FFFFFFFF"/>
      <name val="Calibri"/>
      <family val="0"/>
      <charset val="1"/>
    </font>
    <font>
      <i val="true"/>
      <sz val="10"/>
      <color rgb="FFE2E8F0"/>
      <name val="Calibri"/>
      <family val="0"/>
      <charset val="1"/>
    </font>
    <font>
      <b val="true"/>
      <sz val="10"/>
      <color rgb="FF1B365D"/>
      <name val="Calibri"/>
      <family val="0"/>
      <charset val="1"/>
    </font>
    <font>
      <b val="true"/>
      <sz val="9"/>
      <color rgb="FFFFFFFF"/>
      <name val="Calibri"/>
      <family val="0"/>
      <charset val="1"/>
    </font>
    <font>
      <b val="true"/>
      <sz val="13"/>
      <color rgb="FF1B365D"/>
      <name val="Calibri"/>
      <family val="0"/>
      <charset val="1"/>
    </font>
    <font>
      <b val="true"/>
      <sz val="11"/>
      <color rgb="FFFFFFFF"/>
      <name val="Calibri"/>
      <family val="0"/>
      <charset val="1"/>
    </font>
    <font>
      <b val="true"/>
      <sz val="10"/>
      <color rgb="FF1F2937"/>
      <name val="Calibri"/>
      <family val="0"/>
      <charset val="1"/>
    </font>
    <font>
      <sz val="9.5"/>
      <color rgb="FF1E293B"/>
      <name val="Consolas"/>
      <family val="0"/>
      <charset val="1"/>
    </font>
    <font>
      <sz val="10"/>
      <color rgb="FF1F2937"/>
      <name val="Calibri"/>
      <family val="0"/>
      <charset val="1"/>
    </font>
    <font>
      <b val="true"/>
      <sz val="10"/>
      <color rgb="FF0F5132"/>
      <name val="Calibri"/>
      <family val="0"/>
      <charset val="1"/>
    </font>
    <font>
      <b val="true"/>
      <sz val="10"/>
      <color rgb="FF664D03"/>
      <name val="Calibri"/>
      <family val="0"/>
      <charset val="1"/>
    </font>
    <font>
      <b val="true"/>
      <sz val="10"/>
      <color rgb="FF842029"/>
      <name val="Calibri"/>
      <family val="0"/>
      <charset val="1"/>
    </font>
    <font>
      <i val="true"/>
      <sz val="9"/>
      <color rgb="FF1F2937"/>
      <name val="Calibri"/>
      <family val="0"/>
      <charset val="1"/>
    </font>
  </fonts>
  <fills count="10">
    <fill>
      <patternFill patternType="none"/>
    </fill>
    <fill>
      <patternFill patternType="gray125"/>
    </fill>
    <fill>
      <patternFill patternType="solid">
        <fgColor rgb="FF1B365D"/>
        <bgColor rgb="FF1E293B"/>
      </patternFill>
    </fill>
    <fill>
      <patternFill patternType="solid">
        <fgColor rgb="FF2C5282"/>
        <bgColor rgb="FF1B365D"/>
      </patternFill>
    </fill>
    <fill>
      <patternFill patternType="solid">
        <fgColor rgb="FFF4F7FA"/>
        <bgColor rgb="FFFFFFFF"/>
      </patternFill>
    </fill>
    <fill>
      <patternFill patternType="solid">
        <fgColor rgb="FFD1E7DD"/>
        <bgColor rgb="FFE2E8F0"/>
      </patternFill>
    </fill>
    <fill>
      <patternFill patternType="solid">
        <fgColor rgb="FFFFF3CD"/>
        <bgColor rgb="FFF4F7FA"/>
      </patternFill>
    </fill>
    <fill>
      <patternFill patternType="solid">
        <fgColor rgb="FFFFFFFF"/>
        <bgColor rgb="FFF4F7FA"/>
      </patternFill>
    </fill>
    <fill>
      <patternFill patternType="solid">
        <fgColor rgb="FFF8D7DA"/>
        <bgColor rgb="FFE2E8F0"/>
      </patternFill>
    </fill>
    <fill>
      <patternFill patternType="solid">
        <fgColor rgb="FFE2E8F0"/>
        <bgColor rgb="FFD1E7DD"/>
      </patternFill>
    </fill>
  </fills>
  <borders count="4">
    <border diagonalUp="false" diagonalDown="false">
      <left/>
      <right/>
      <top/>
      <bottom/>
      <diagonal/>
    </border>
    <border diagonalUp="false" diagonalDown="false">
      <left style="thin">
        <color rgb="FFD0D7DE"/>
      </left>
      <right style="thin">
        <color rgb="FFD0D7DE"/>
      </right>
      <top style="thin">
        <color rgb="FFD0D7DE"/>
      </top>
      <bottom style="thin">
        <color rgb="FFD0D7DE"/>
      </bottom>
      <diagonal/>
    </border>
    <border diagonalUp="false" diagonalDown="false">
      <left style="thin">
        <color rgb="FFB8C4D6"/>
      </left>
      <right style="thin">
        <color rgb="FFB8C4D6"/>
      </right>
      <top style="thin">
        <color rgb="FFB8C4D6"/>
      </top>
      <bottom style="thin">
        <color rgb="FFB8C4D6"/>
      </bottom>
      <diagonal/>
    </border>
    <border diagonalUp="false" diagonalDown="false">
      <left style="thin">
        <color rgb="FFD0D7DE"/>
      </left>
      <right style="thin">
        <color rgb="FFD0D7DE"/>
      </right>
      <top style="thin">
        <color rgb="FF1B365D"/>
      </top>
      <bottom style="double">
        <color rgb="FF1B365D"/>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1" shrinkToFit="false"/>
      <protection locked="true" hidden="false"/>
    </xf>
    <xf numFmtId="164" fontId="5" fillId="3" borderId="0" xfId="0" applyFont="true" applyBorder="true" applyAlignment="true" applyProtection="false">
      <alignment horizontal="left" vertical="center" textRotation="0" wrapText="false" indent="1" shrinkToFit="false"/>
      <protection locked="true" hidden="false"/>
    </xf>
    <xf numFmtId="164" fontId="6" fillId="0" borderId="0" xfId="0" applyFont="true" applyBorder="true" applyAlignment="true" applyProtection="false">
      <alignment horizontal="left" vertical="center" textRotation="0" wrapText="false" indent="0" shrinkToFit="false"/>
      <protection locked="true" hidden="false"/>
    </xf>
    <xf numFmtId="164" fontId="7" fillId="3" borderId="1" xfId="0" applyFont="true" applyBorder="true" applyAlignment="true" applyProtection="false">
      <alignment horizontal="center" vertical="center" textRotation="0" wrapText="false" indent="0" shrinkToFit="false"/>
      <protection locked="true" hidden="false"/>
    </xf>
    <xf numFmtId="165" fontId="8" fillId="4" borderId="1" xfId="0" applyFont="true" applyBorder="true" applyAlignment="true" applyProtection="false">
      <alignment horizontal="center" vertical="center" textRotation="0" wrapText="fals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64" fontId="9" fillId="2" borderId="1" xfId="0" applyFont="true" applyBorder="true" applyAlignment="true" applyProtection="false">
      <alignment horizontal="left" vertical="center" textRotation="0" wrapText="true" indent="0" shrinkToFit="false"/>
      <protection locked="true" hidden="false"/>
    </xf>
    <xf numFmtId="164" fontId="10" fillId="4" borderId="1" xfId="0" applyFont="true" applyBorder="true" applyAlignment="true" applyProtection="false">
      <alignment horizontal="center" vertical="top" textRotation="0" wrapText="false" indent="0" shrinkToFit="false"/>
      <protection locked="true" hidden="false"/>
    </xf>
    <xf numFmtId="164" fontId="10" fillId="4" borderId="1" xfId="0" applyFont="true" applyBorder="true" applyAlignment="true" applyProtection="false">
      <alignment horizontal="left" vertical="top" textRotation="0" wrapText="true" indent="0" shrinkToFit="false"/>
      <protection locked="true" hidden="false"/>
    </xf>
    <xf numFmtId="164" fontId="11" fillId="4" borderId="1" xfId="0" applyFont="true" applyBorder="true" applyAlignment="true" applyProtection="false">
      <alignment horizontal="left" vertical="top" textRotation="0" wrapText="true" indent="0" shrinkToFit="false"/>
      <protection locked="true" hidden="false"/>
    </xf>
    <xf numFmtId="164" fontId="12" fillId="4" borderId="1" xfId="0" applyFont="true" applyBorder="true" applyAlignment="true" applyProtection="false">
      <alignment horizontal="left" vertical="top" textRotation="0" wrapText="true" indent="0" shrinkToFit="false"/>
      <protection locked="true" hidden="false"/>
    </xf>
    <xf numFmtId="164" fontId="13" fillId="5" borderId="1" xfId="0" applyFont="true" applyBorder="true" applyAlignment="true" applyProtection="false">
      <alignment horizontal="center" vertical="center" textRotation="0" wrapText="false" indent="0" shrinkToFit="false"/>
      <protection locked="true" hidden="false"/>
    </xf>
    <xf numFmtId="164" fontId="14" fillId="6" borderId="2" xfId="0" applyFont="true" applyBorder="true" applyAlignment="true" applyProtection="false">
      <alignment horizontal="center" vertical="center" textRotation="0" wrapText="true" indent="0" shrinkToFit="false"/>
      <protection locked="true" hidden="false"/>
    </xf>
    <xf numFmtId="164" fontId="12" fillId="4" borderId="2" xfId="0" applyFont="true" applyBorder="true" applyAlignment="true" applyProtection="false">
      <alignment horizontal="left" vertical="top" textRotation="0" wrapText="true" indent="0" shrinkToFit="false"/>
      <protection locked="true" hidden="false"/>
    </xf>
    <xf numFmtId="164" fontId="10" fillId="7" borderId="1" xfId="0" applyFont="true" applyBorder="true" applyAlignment="true" applyProtection="false">
      <alignment horizontal="center" vertical="top" textRotation="0" wrapText="false" indent="0" shrinkToFit="false"/>
      <protection locked="true" hidden="false"/>
    </xf>
    <xf numFmtId="164" fontId="10" fillId="7" borderId="1" xfId="0" applyFont="true" applyBorder="true" applyAlignment="true" applyProtection="false">
      <alignment horizontal="left" vertical="top" textRotation="0" wrapText="true" indent="0" shrinkToFit="false"/>
      <protection locked="true" hidden="false"/>
    </xf>
    <xf numFmtId="164" fontId="11" fillId="7" borderId="1" xfId="0" applyFont="true" applyBorder="true" applyAlignment="true" applyProtection="false">
      <alignment horizontal="left" vertical="top" textRotation="0" wrapText="true" indent="0" shrinkToFit="false"/>
      <protection locked="true" hidden="false"/>
    </xf>
    <xf numFmtId="164" fontId="12" fillId="7" borderId="1" xfId="0" applyFont="true" applyBorder="true" applyAlignment="true" applyProtection="false">
      <alignment horizontal="left" vertical="top" textRotation="0" wrapText="true" indent="0" shrinkToFit="false"/>
      <protection locked="true" hidden="false"/>
    </xf>
    <xf numFmtId="164" fontId="12" fillId="7" borderId="2" xfId="0" applyFont="true" applyBorder="true" applyAlignment="true" applyProtection="false">
      <alignment horizontal="left" vertical="top" textRotation="0" wrapText="true" indent="0" shrinkToFit="false"/>
      <protection locked="true" hidden="false"/>
    </xf>
    <xf numFmtId="164" fontId="15" fillId="8" borderId="2" xfId="0" applyFont="true" applyBorder="true" applyAlignment="true" applyProtection="false">
      <alignment horizontal="center" vertical="center" textRotation="0" wrapText="true" indent="0" shrinkToFit="false"/>
      <protection locked="true" hidden="false"/>
    </xf>
    <xf numFmtId="164" fontId="13" fillId="5" borderId="2" xfId="0" applyFont="true" applyBorder="true" applyAlignment="true" applyProtection="false">
      <alignment horizontal="center" vertical="center" textRotation="0" wrapText="true" indent="0" shrinkToFit="false"/>
      <protection locked="true" hidden="false"/>
    </xf>
    <xf numFmtId="164" fontId="9" fillId="2" borderId="2" xfId="0" applyFont="true" applyBorder="true" applyAlignment="true" applyProtection="false">
      <alignment horizontal="center" vertical="center" textRotation="0" wrapText="true" indent="0" shrinkToFit="false"/>
      <protection locked="true" hidden="false"/>
    </xf>
    <xf numFmtId="164" fontId="10" fillId="4" borderId="2" xfId="0" applyFont="true" applyBorder="true" applyAlignment="true" applyProtection="false">
      <alignment horizontal="center" vertical="top" textRotation="0" wrapText="true" indent="0" shrinkToFit="false"/>
      <protection locked="true" hidden="false"/>
    </xf>
    <xf numFmtId="164" fontId="16" fillId="4" borderId="2" xfId="0" applyFont="true" applyBorder="true" applyAlignment="true" applyProtection="false">
      <alignment horizontal="center" vertical="center" textRotation="0" wrapText="true" indent="0" shrinkToFit="false"/>
      <protection locked="true" hidden="false"/>
    </xf>
    <xf numFmtId="164" fontId="10" fillId="7" borderId="2" xfId="0" applyFont="true" applyBorder="true" applyAlignment="true" applyProtection="false">
      <alignment horizontal="center" vertical="top" textRotation="0" wrapText="true" indent="0" shrinkToFit="false"/>
      <protection locked="true" hidden="false"/>
    </xf>
    <xf numFmtId="164" fontId="16" fillId="7" borderId="2" xfId="0" applyFont="true" applyBorder="true" applyAlignment="true" applyProtection="false">
      <alignment horizontal="center" vertical="center" textRotation="0" wrapText="true" indent="0" shrinkToFit="false"/>
      <protection locked="true" hidden="false"/>
    </xf>
    <xf numFmtId="164" fontId="10" fillId="9" borderId="2" xfId="0" applyFont="true" applyBorder="true" applyAlignment="true" applyProtection="false">
      <alignment horizontal="center" vertical="center" textRotation="0" wrapText="true" indent="0" shrinkToFit="false"/>
      <protection locked="true" hidden="false"/>
    </xf>
    <xf numFmtId="164" fontId="9" fillId="2" borderId="1" xfId="0" applyFont="true" applyBorder="true" applyAlignment="true" applyProtection="false">
      <alignment horizontal="right" vertical="center" textRotation="0" wrapText="true" indent="0" shrinkToFit="false"/>
      <protection locked="true" hidden="false"/>
    </xf>
    <xf numFmtId="164" fontId="11" fillId="7" borderId="1" xfId="0" applyFont="true" applyBorder="true" applyAlignment="true" applyProtection="false">
      <alignment horizontal="left" vertical="center" textRotation="0" wrapText="false" indent="0" shrinkToFit="false"/>
      <protection locked="true" hidden="false"/>
    </xf>
    <xf numFmtId="164" fontId="12" fillId="7" borderId="1" xfId="0" applyFont="true" applyBorder="true" applyAlignment="true" applyProtection="false">
      <alignment horizontal="center" vertical="center" textRotation="0" wrapText="false" indent="0" shrinkToFit="false"/>
      <protection locked="true" hidden="false"/>
    </xf>
    <xf numFmtId="165" fontId="12" fillId="7" borderId="1" xfId="0" applyFont="true" applyBorder="true" applyAlignment="true" applyProtection="false">
      <alignment horizontal="right" vertical="center" textRotation="0" wrapText="false" indent="0" shrinkToFit="false"/>
      <protection locked="true" hidden="false"/>
    </xf>
    <xf numFmtId="164" fontId="12" fillId="7" borderId="1" xfId="0" applyFont="true" applyBorder="true" applyAlignment="true" applyProtection="false">
      <alignment horizontal="left" vertical="center" textRotation="0" wrapText="true" indent="0" shrinkToFit="false"/>
      <protection locked="true" hidden="false"/>
    </xf>
    <xf numFmtId="164" fontId="11" fillId="4" borderId="1" xfId="0" applyFont="true" applyBorder="true" applyAlignment="true" applyProtection="false">
      <alignment horizontal="left" vertical="center" textRotation="0" wrapText="false" indent="0" shrinkToFit="false"/>
      <protection locked="true" hidden="false"/>
    </xf>
    <xf numFmtId="164" fontId="12" fillId="4" borderId="1" xfId="0" applyFont="true" applyBorder="true" applyAlignment="true" applyProtection="false">
      <alignment horizontal="center" vertical="center" textRotation="0" wrapText="false" indent="0" shrinkToFit="false"/>
      <protection locked="true" hidden="false"/>
    </xf>
    <xf numFmtId="165" fontId="12" fillId="4" borderId="1" xfId="0" applyFont="true" applyBorder="true" applyAlignment="true" applyProtection="false">
      <alignment horizontal="right" vertical="center" textRotation="0" wrapText="false" indent="0" shrinkToFit="false"/>
      <protection locked="true" hidden="false"/>
    </xf>
    <xf numFmtId="164" fontId="12" fillId="4" borderId="1" xfId="0" applyFont="true" applyBorder="true" applyAlignment="true" applyProtection="false">
      <alignment horizontal="left" vertical="center" textRotation="0" wrapText="true" indent="0" shrinkToFit="false"/>
      <protection locked="true" hidden="false"/>
    </xf>
    <xf numFmtId="164" fontId="10" fillId="7" borderId="1" xfId="0" applyFont="true" applyBorder="true" applyAlignment="true" applyProtection="false">
      <alignment horizontal="center" vertical="center" textRotation="0" wrapText="false" indent="0" shrinkToFit="false"/>
      <protection locked="true" hidden="false"/>
    </xf>
    <xf numFmtId="164" fontId="10" fillId="4" borderId="1" xfId="0" applyFont="true" applyBorder="true" applyAlignment="true" applyProtection="false">
      <alignment horizontal="center" vertical="center" textRotation="0" wrapText="false" indent="0" shrinkToFit="false"/>
      <protection locked="true" hidden="false"/>
    </xf>
    <xf numFmtId="164" fontId="10" fillId="4" borderId="3" xfId="0" applyFont="true" applyBorder="true" applyAlignment="true" applyProtection="false">
      <alignment horizontal="left" vertical="center" textRotation="0" wrapText="false" indent="0" shrinkToFit="false"/>
      <protection locked="true" hidden="false"/>
    </xf>
    <xf numFmtId="165" fontId="10" fillId="4" borderId="3" xfId="0" applyFont="true" applyBorder="true" applyAlignment="true" applyProtection="false">
      <alignment horizontal="righ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664D03"/>
      <rgbColor rgb="FF800080"/>
      <rgbColor rgb="FF008080"/>
      <rgbColor rgb="FFB8C4D6"/>
      <rgbColor rgb="FF808080"/>
      <rgbColor rgb="FF9999FF"/>
      <rgbColor rgb="FF993366"/>
      <rgbColor rgb="FFFFF3CD"/>
      <rgbColor rgb="FFE2E8F0"/>
      <rgbColor rgb="FF660066"/>
      <rgbColor rgb="FFFF8080"/>
      <rgbColor rgb="FF0066CC"/>
      <rgbColor rgb="FFD0D7DE"/>
      <rgbColor rgb="FF000080"/>
      <rgbColor rgb="FFFF00FF"/>
      <rgbColor rgb="FFFFFF00"/>
      <rgbColor rgb="FF00FFFF"/>
      <rgbColor rgb="FF800080"/>
      <rgbColor rgb="FF800000"/>
      <rgbColor rgb="FF008080"/>
      <rgbColor rgb="FF0000FF"/>
      <rgbColor rgb="FF00CCFF"/>
      <rgbColor rgb="FFF4F7FA"/>
      <rgbColor rgb="FFD1E7DD"/>
      <rgbColor rgb="FFFFFF99"/>
      <rgbColor rgb="FF99CCFF"/>
      <rgbColor rgb="FFFF99CC"/>
      <rgbColor rgb="FFCC99FF"/>
      <rgbColor rgb="FFF8D7DA"/>
      <rgbColor rgb="FF3366FF"/>
      <rgbColor rgb="FF33CCCC"/>
      <rgbColor rgb="FF99CC00"/>
      <rgbColor rgb="FFFFCC00"/>
      <rgbColor rgb="FFFF9900"/>
      <rgbColor rgb="FFFF6600"/>
      <rgbColor rgb="FF666699"/>
      <rgbColor rgb="FF969696"/>
      <rgbColor rgb="FF1B365D"/>
      <rgbColor rgb="FF339966"/>
      <rgbColor rgb="FF0F5132"/>
      <rgbColor rgb="FF1E293B"/>
      <rgbColor rgb="FF842029"/>
      <rgbColor rgb="FF993366"/>
      <rgbColor rgb="FF2C5282"/>
      <rgbColor rgb="FF1F293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2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24"/>
    <col collapsed="false" customWidth="true" hidden="false" outlineLevel="0" max="3" min="3" style="1" width="28"/>
    <col collapsed="false" customWidth="true" hidden="false" outlineLevel="0" max="4" min="4" style="1" width="34"/>
    <col collapsed="false" customWidth="true" hidden="false" outlineLevel="0" max="5" min="5" style="1" width="48"/>
    <col collapsed="false" customWidth="true" hidden="false" outlineLevel="0" max="6" min="6" style="1" width="44"/>
    <col collapsed="false" customWidth="true" hidden="false" outlineLevel="0" max="7" min="7" style="1" width="38"/>
    <col collapsed="false" customWidth="true" hidden="false" outlineLevel="0" max="9" min="8" style="1" width="16"/>
    <col collapsed="false" customWidth="true" hidden="false" outlineLevel="0" max="10" min="10" style="1" width="95"/>
  </cols>
  <sheetData>
    <row r="1" customFormat="false" ht="27.75" hidden="false" customHeight="true" outlineLevel="0" collapsed="false">
      <c r="A1" s="2" t="s">
        <v>0</v>
      </c>
      <c r="B1" s="2"/>
      <c r="C1" s="2"/>
      <c r="D1" s="2"/>
      <c r="E1" s="2"/>
      <c r="F1" s="2"/>
      <c r="G1" s="2"/>
      <c r="H1" s="2"/>
      <c r="I1" s="2"/>
      <c r="J1" s="2"/>
    </row>
    <row r="2" customFormat="false" ht="19.5" hidden="false" customHeight="true" outlineLevel="0" collapsed="false">
      <c r="A2" s="3" t="s">
        <v>1</v>
      </c>
      <c r="B2" s="3"/>
      <c r="C2" s="3"/>
      <c r="D2" s="3"/>
      <c r="E2" s="3"/>
      <c r="F2" s="3"/>
      <c r="G2" s="3"/>
      <c r="H2" s="3"/>
      <c r="I2" s="3"/>
      <c r="J2" s="3"/>
    </row>
    <row r="3" customFormat="false" ht="18" hidden="false" customHeight="true" outlineLevel="0" collapsed="false">
      <c r="A3" s="4" t="str">
        <f aca="false">"Independent audit 2026-10-14 — verdicts: PASS "&amp;COUNTIF(I8:I20,"PASS")&amp;" · PARTIAL "&amp;COUNTIF(I8:I20,"PARTIAL")&amp;" · FAIL "&amp;COUNTIF(I8:I20,"FAIL")&amp;"  (PARTIAL is not counted by the E5/G5 counters; full evidence: docs/audits/2026-10-14_v0.3.0_independent_audit.md)"</f>
        <v>Independent audit 2026-10-14 — verdicts: PASS 4 · PARTIAL 8 · FAIL 1  (PARTIAL is not counted by the E5/G5 counters; full evidence: docs/audits/2026-10-14_v0.3.0_independent_audit.md)</v>
      </c>
      <c r="B3" s="4"/>
      <c r="C3" s="4"/>
      <c r="D3" s="4"/>
      <c r="E3" s="4"/>
      <c r="F3" s="4"/>
      <c r="G3" s="4"/>
      <c r="H3" s="4"/>
      <c r="I3" s="4"/>
      <c r="J3" s="4"/>
    </row>
    <row r="4" customFormat="false" ht="18" hidden="false" customHeight="true" outlineLevel="0" collapsed="false">
      <c r="A4" s="5" t="s">
        <v>2</v>
      </c>
      <c r="B4" s="5"/>
      <c r="C4" s="5" t="s">
        <v>3</v>
      </c>
      <c r="D4" s="5"/>
      <c r="E4" s="5" t="s">
        <v>4</v>
      </c>
      <c r="F4" s="5"/>
      <c r="G4" s="5" t="s">
        <v>5</v>
      </c>
      <c r="H4" s="5"/>
      <c r="I4" s="5" t="s">
        <v>6</v>
      </c>
      <c r="J4" s="5"/>
    </row>
    <row r="5" customFormat="false" ht="24" hidden="false" customHeight="true" outlineLevel="0" collapsed="false">
      <c r="A5" s="6" t="n">
        <f aca="false">COUNTA(A8:A20)</f>
        <v>13</v>
      </c>
      <c r="B5" s="6"/>
      <c r="C5" s="6" t="n">
        <f aca="false">COUNTIF(H8:H20, "PASS")</f>
        <v>13</v>
      </c>
      <c r="D5" s="6"/>
      <c r="E5" s="6" t="n">
        <f aca="false">COUNTIF(I8:I20, "PASS")</f>
        <v>4</v>
      </c>
      <c r="F5" s="6"/>
      <c r="G5" s="6" t="n">
        <f aca="false">COUNTIF(I8:I20, "FAIL")</f>
        <v>1</v>
      </c>
      <c r="H5" s="6"/>
      <c r="I5" s="6" t="n">
        <f aca="false">COUNTIF(I8:I20, "Pending Review")</f>
        <v>0</v>
      </c>
      <c r="J5" s="6"/>
    </row>
    <row r="7" customFormat="false" ht="25.5" hidden="false" customHeight="true" outlineLevel="0" collapsed="false">
      <c r="A7" s="7" t="s">
        <v>7</v>
      </c>
      <c r="B7" s="8" t="s">
        <v>8</v>
      </c>
      <c r="C7" s="8" t="s">
        <v>9</v>
      </c>
      <c r="D7" s="8" t="s">
        <v>10</v>
      </c>
      <c r="E7" s="8" t="s">
        <v>11</v>
      </c>
      <c r="F7" s="8" t="s">
        <v>12</v>
      </c>
      <c r="G7" s="8" t="s">
        <v>13</v>
      </c>
      <c r="H7" s="7" t="s">
        <v>14</v>
      </c>
      <c r="I7" s="7" t="s">
        <v>15</v>
      </c>
      <c r="J7" s="8" t="s">
        <v>16</v>
      </c>
    </row>
    <row r="8" customFormat="false" ht="129" hidden="false" customHeight="true" outlineLevel="0" collapsed="false">
      <c r="A8" s="9" t="s">
        <v>17</v>
      </c>
      <c r="B8" s="10" t="s">
        <v>18</v>
      </c>
      <c r="C8" s="10" t="s">
        <v>19</v>
      </c>
      <c r="D8" s="11" t="s">
        <v>20</v>
      </c>
      <c r="E8" s="12" t="s">
        <v>21</v>
      </c>
      <c r="F8" s="12" t="s">
        <v>22</v>
      </c>
      <c r="G8" s="11" t="s">
        <v>23</v>
      </c>
      <c r="H8" s="13" t="s">
        <v>24</v>
      </c>
      <c r="I8" s="14" t="s">
        <v>25</v>
      </c>
      <c r="J8" s="15" t="s">
        <v>26</v>
      </c>
    </row>
    <row r="9" customFormat="false" ht="88.5" hidden="false" customHeight="true" outlineLevel="0" collapsed="false">
      <c r="A9" s="16" t="s">
        <v>27</v>
      </c>
      <c r="B9" s="17" t="s">
        <v>28</v>
      </c>
      <c r="C9" s="17" t="s">
        <v>29</v>
      </c>
      <c r="D9" s="18" t="s">
        <v>30</v>
      </c>
      <c r="E9" s="19" t="s">
        <v>31</v>
      </c>
      <c r="F9" s="19" t="s">
        <v>32</v>
      </c>
      <c r="G9" s="18" t="s">
        <v>33</v>
      </c>
      <c r="H9" s="13" t="s">
        <v>24</v>
      </c>
      <c r="I9" s="14" t="s">
        <v>25</v>
      </c>
      <c r="J9" s="20" t="s">
        <v>34</v>
      </c>
    </row>
    <row r="10" customFormat="false" ht="88.5" hidden="false" customHeight="true" outlineLevel="0" collapsed="false">
      <c r="A10" s="9" t="s">
        <v>35</v>
      </c>
      <c r="B10" s="10" t="s">
        <v>36</v>
      </c>
      <c r="C10" s="10" t="s">
        <v>37</v>
      </c>
      <c r="D10" s="11" t="s">
        <v>38</v>
      </c>
      <c r="E10" s="12" t="s">
        <v>39</v>
      </c>
      <c r="F10" s="12" t="s">
        <v>40</v>
      </c>
      <c r="G10" s="11" t="s">
        <v>41</v>
      </c>
      <c r="H10" s="13" t="s">
        <v>24</v>
      </c>
      <c r="I10" s="14" t="s">
        <v>25</v>
      </c>
      <c r="J10" s="15" t="s">
        <v>42</v>
      </c>
    </row>
    <row r="11" customFormat="false" ht="115.5" hidden="false" customHeight="true" outlineLevel="0" collapsed="false">
      <c r="A11" s="16" t="s">
        <v>43</v>
      </c>
      <c r="B11" s="17" t="s">
        <v>44</v>
      </c>
      <c r="C11" s="17" t="s">
        <v>45</v>
      </c>
      <c r="D11" s="18" t="s">
        <v>46</v>
      </c>
      <c r="E11" s="19" t="s">
        <v>47</v>
      </c>
      <c r="F11" s="19" t="s">
        <v>48</v>
      </c>
      <c r="G11" s="18" t="s">
        <v>49</v>
      </c>
      <c r="H11" s="13" t="s">
        <v>24</v>
      </c>
      <c r="I11" s="21" t="s">
        <v>50</v>
      </c>
      <c r="J11" s="20" t="s">
        <v>51</v>
      </c>
    </row>
    <row r="12" customFormat="false" ht="102" hidden="false" customHeight="true" outlineLevel="0" collapsed="false">
      <c r="A12" s="9" t="s">
        <v>52</v>
      </c>
      <c r="B12" s="10" t="s">
        <v>53</v>
      </c>
      <c r="C12" s="10" t="s">
        <v>54</v>
      </c>
      <c r="D12" s="11" t="s">
        <v>55</v>
      </c>
      <c r="E12" s="12" t="s">
        <v>56</v>
      </c>
      <c r="F12" s="12" t="s">
        <v>57</v>
      </c>
      <c r="G12" s="11" t="s">
        <v>58</v>
      </c>
      <c r="H12" s="13" t="s">
        <v>24</v>
      </c>
      <c r="I12" s="14" t="s">
        <v>25</v>
      </c>
      <c r="J12" s="15" t="s">
        <v>59</v>
      </c>
    </row>
    <row r="13" customFormat="false" ht="88.5" hidden="false" customHeight="true" outlineLevel="0" collapsed="false">
      <c r="A13" s="16" t="s">
        <v>60</v>
      </c>
      <c r="B13" s="17" t="s">
        <v>61</v>
      </c>
      <c r="C13" s="17" t="s">
        <v>62</v>
      </c>
      <c r="D13" s="18" t="s">
        <v>63</v>
      </c>
      <c r="E13" s="19" t="s">
        <v>64</v>
      </c>
      <c r="F13" s="19" t="s">
        <v>65</v>
      </c>
      <c r="G13" s="18" t="s">
        <v>66</v>
      </c>
      <c r="H13" s="13" t="s">
        <v>24</v>
      </c>
      <c r="I13" s="22" t="s">
        <v>24</v>
      </c>
      <c r="J13" s="20" t="s">
        <v>67</v>
      </c>
    </row>
    <row r="14" customFormat="false" ht="75" hidden="false" customHeight="true" outlineLevel="0" collapsed="false">
      <c r="A14" s="9" t="s">
        <v>68</v>
      </c>
      <c r="B14" s="10" t="s">
        <v>69</v>
      </c>
      <c r="C14" s="10" t="s">
        <v>70</v>
      </c>
      <c r="D14" s="11" t="s">
        <v>71</v>
      </c>
      <c r="E14" s="12" t="s">
        <v>72</v>
      </c>
      <c r="F14" s="12" t="s">
        <v>73</v>
      </c>
      <c r="G14" s="11" t="s">
        <v>74</v>
      </c>
      <c r="H14" s="13" t="s">
        <v>24</v>
      </c>
      <c r="I14" s="14" t="s">
        <v>25</v>
      </c>
      <c r="J14" s="15" t="s">
        <v>75</v>
      </c>
    </row>
    <row r="15" customFormat="false" ht="102" hidden="false" customHeight="true" outlineLevel="0" collapsed="false">
      <c r="A15" s="16" t="s">
        <v>76</v>
      </c>
      <c r="B15" s="17" t="s">
        <v>77</v>
      </c>
      <c r="C15" s="17" t="s">
        <v>78</v>
      </c>
      <c r="D15" s="18" t="s">
        <v>79</v>
      </c>
      <c r="E15" s="19" t="s">
        <v>80</v>
      </c>
      <c r="F15" s="19" t="s">
        <v>81</v>
      </c>
      <c r="G15" s="18" t="s">
        <v>74</v>
      </c>
      <c r="H15" s="13" t="s">
        <v>24</v>
      </c>
      <c r="I15" s="14" t="s">
        <v>25</v>
      </c>
      <c r="J15" s="20" t="s">
        <v>82</v>
      </c>
    </row>
    <row r="16" customFormat="false" ht="88.5" hidden="false" customHeight="true" outlineLevel="0" collapsed="false">
      <c r="A16" s="9" t="s">
        <v>83</v>
      </c>
      <c r="B16" s="10" t="s">
        <v>84</v>
      </c>
      <c r="C16" s="10" t="s">
        <v>85</v>
      </c>
      <c r="D16" s="11" t="s">
        <v>86</v>
      </c>
      <c r="E16" s="12" t="s">
        <v>87</v>
      </c>
      <c r="F16" s="12" t="s">
        <v>88</v>
      </c>
      <c r="G16" s="11" t="s">
        <v>89</v>
      </c>
      <c r="H16" s="13" t="s">
        <v>24</v>
      </c>
      <c r="I16" s="14" t="s">
        <v>25</v>
      </c>
      <c r="J16" s="15" t="s">
        <v>90</v>
      </c>
    </row>
    <row r="17" customFormat="false" ht="129" hidden="false" customHeight="true" outlineLevel="0" collapsed="false">
      <c r="A17" s="16" t="s">
        <v>91</v>
      </c>
      <c r="B17" s="17" t="s">
        <v>92</v>
      </c>
      <c r="C17" s="17" t="s">
        <v>93</v>
      </c>
      <c r="D17" s="18" t="s">
        <v>94</v>
      </c>
      <c r="E17" s="19" t="s">
        <v>95</v>
      </c>
      <c r="F17" s="19" t="s">
        <v>96</v>
      </c>
      <c r="G17" s="18" t="s">
        <v>97</v>
      </c>
      <c r="H17" s="13" t="s">
        <v>24</v>
      </c>
      <c r="I17" s="14" t="s">
        <v>25</v>
      </c>
      <c r="J17" s="20" t="s">
        <v>98</v>
      </c>
    </row>
    <row r="18" customFormat="false" ht="115.5" hidden="false" customHeight="true" outlineLevel="0" collapsed="false">
      <c r="A18" s="9" t="s">
        <v>99</v>
      </c>
      <c r="B18" s="10" t="s">
        <v>100</v>
      </c>
      <c r="C18" s="10" t="s">
        <v>101</v>
      </c>
      <c r="D18" s="11" t="s">
        <v>102</v>
      </c>
      <c r="E18" s="12" t="s">
        <v>103</v>
      </c>
      <c r="F18" s="12" t="s">
        <v>104</v>
      </c>
      <c r="G18" s="11" t="s">
        <v>105</v>
      </c>
      <c r="H18" s="13" t="s">
        <v>24</v>
      </c>
      <c r="I18" s="22" t="s">
        <v>24</v>
      </c>
      <c r="J18" s="15" t="s">
        <v>106</v>
      </c>
    </row>
    <row r="19" customFormat="false" ht="129" hidden="false" customHeight="true" outlineLevel="0" collapsed="false">
      <c r="A19" s="16" t="s">
        <v>107</v>
      </c>
      <c r="B19" s="17" t="s">
        <v>108</v>
      </c>
      <c r="C19" s="17" t="s">
        <v>109</v>
      </c>
      <c r="D19" s="18" t="s">
        <v>110</v>
      </c>
      <c r="E19" s="19" t="s">
        <v>111</v>
      </c>
      <c r="F19" s="19" t="s">
        <v>112</v>
      </c>
      <c r="G19" s="18" t="s">
        <v>113</v>
      </c>
      <c r="H19" s="13" t="s">
        <v>24</v>
      </c>
      <c r="I19" s="22" t="s">
        <v>24</v>
      </c>
      <c r="J19" s="20" t="s">
        <v>114</v>
      </c>
    </row>
    <row r="20" customFormat="false" ht="129" hidden="false" customHeight="true" outlineLevel="0" collapsed="false">
      <c r="A20" s="9" t="s">
        <v>115</v>
      </c>
      <c r="B20" s="10" t="s">
        <v>116</v>
      </c>
      <c r="C20" s="10" t="s">
        <v>117</v>
      </c>
      <c r="D20" s="11" t="s">
        <v>118</v>
      </c>
      <c r="E20" s="12" t="s">
        <v>119</v>
      </c>
      <c r="F20" s="12" t="s">
        <v>120</v>
      </c>
      <c r="G20" s="11" t="s">
        <v>121</v>
      </c>
      <c r="H20" s="13" t="s">
        <v>24</v>
      </c>
      <c r="I20" s="22" t="s">
        <v>24</v>
      </c>
      <c r="J20" s="15" t="s">
        <v>122</v>
      </c>
    </row>
  </sheetData>
  <mergeCells count="13">
    <mergeCell ref="A1:J1"/>
    <mergeCell ref="A2:J2"/>
    <mergeCell ref="A3:J3"/>
    <mergeCell ref="A4:B4"/>
    <mergeCell ref="C4:D4"/>
    <mergeCell ref="E4:F4"/>
    <mergeCell ref="G4:H4"/>
    <mergeCell ref="I4:J4"/>
    <mergeCell ref="A5:B5"/>
    <mergeCell ref="C5:D5"/>
    <mergeCell ref="E5:F5"/>
    <mergeCell ref="G5:H5"/>
    <mergeCell ref="I5:J5"/>
  </mergeCells>
  <dataValidations count="1">
    <dataValidation allowBlank="true" errorStyle="stop" operator="between" showDropDown="false" showErrorMessage="false" showInputMessage="false" sqref="I8:I20" type="list">
      <formula1>"PASS,FAIL,PARTIAL,Pending Review"</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8"/>
    <col collapsed="false" customWidth="true" hidden="false" outlineLevel="0" max="2" min="2" style="1" width="20"/>
    <col collapsed="false" customWidth="true" hidden="false" outlineLevel="0" max="3" min="3" style="1" width="34"/>
    <col collapsed="false" customWidth="true" hidden="false" outlineLevel="0" max="4" min="4" style="1" width="36"/>
    <col collapsed="false" customWidth="true" hidden="false" outlineLevel="0" max="5" min="5" style="1" width="54"/>
    <col collapsed="false" customWidth="true" hidden="false" outlineLevel="0" max="6" min="6" style="1" width="42"/>
    <col collapsed="false" customWidth="true" hidden="false" outlineLevel="0" max="7" min="7" style="1" width="14"/>
    <col collapsed="false" customWidth="true" hidden="false" outlineLevel="0" max="8" min="8" style="0" width="16"/>
    <col collapsed="false" customWidth="true" hidden="false" outlineLevel="0" max="9" min="9" style="0" width="95"/>
  </cols>
  <sheetData>
    <row r="1" customFormat="false" ht="27.75" hidden="false" customHeight="true" outlineLevel="0" collapsed="false">
      <c r="A1" s="2" t="s">
        <v>123</v>
      </c>
      <c r="B1" s="2"/>
      <c r="C1" s="2"/>
      <c r="D1" s="2"/>
      <c r="E1" s="2"/>
      <c r="F1" s="2"/>
      <c r="G1" s="2"/>
    </row>
    <row r="2" customFormat="false" ht="19.5" hidden="false" customHeight="true" outlineLevel="0" collapsed="false">
      <c r="A2" s="3" t="s">
        <v>124</v>
      </c>
      <c r="B2" s="3"/>
      <c r="C2" s="3"/>
      <c r="D2" s="3"/>
      <c r="E2" s="3"/>
      <c r="F2" s="3"/>
      <c r="G2" s="3"/>
    </row>
    <row r="4" customFormat="false" ht="24" hidden="false" customHeight="true" outlineLevel="0" collapsed="false">
      <c r="A4" s="7" t="s">
        <v>125</v>
      </c>
      <c r="B4" s="8" t="s">
        <v>126</v>
      </c>
      <c r="C4" s="8" t="s">
        <v>127</v>
      </c>
      <c r="D4" s="8" t="s">
        <v>128</v>
      </c>
      <c r="E4" s="8" t="s">
        <v>129</v>
      </c>
      <c r="F4" s="8" t="s">
        <v>130</v>
      </c>
      <c r="G4" s="7" t="s">
        <v>131</v>
      </c>
      <c r="H4" s="23" t="s">
        <v>15</v>
      </c>
      <c r="I4" s="23" t="s">
        <v>16</v>
      </c>
    </row>
    <row r="5" customFormat="false" ht="75" hidden="false" customHeight="true" outlineLevel="0" collapsed="false">
      <c r="A5" s="16" t="s">
        <v>132</v>
      </c>
      <c r="B5" s="17" t="s">
        <v>133</v>
      </c>
      <c r="C5" s="17" t="s">
        <v>134</v>
      </c>
      <c r="D5" s="18" t="s">
        <v>135</v>
      </c>
      <c r="E5" s="19" t="s">
        <v>136</v>
      </c>
      <c r="F5" s="18" t="s">
        <v>137</v>
      </c>
      <c r="G5" s="13" t="s">
        <v>24</v>
      </c>
      <c r="H5" s="22" t="s">
        <v>24</v>
      </c>
      <c r="I5" s="20" t="s">
        <v>138</v>
      </c>
    </row>
    <row r="6" customFormat="false" ht="61.5" hidden="false" customHeight="true" outlineLevel="0" collapsed="false">
      <c r="A6" s="9" t="s">
        <v>139</v>
      </c>
      <c r="B6" s="10" t="s">
        <v>133</v>
      </c>
      <c r="C6" s="10" t="s">
        <v>140</v>
      </c>
      <c r="D6" s="11" t="s">
        <v>141</v>
      </c>
      <c r="E6" s="12" t="s">
        <v>142</v>
      </c>
      <c r="F6" s="11" t="s">
        <v>143</v>
      </c>
      <c r="G6" s="13" t="s">
        <v>24</v>
      </c>
      <c r="H6" s="22" t="s">
        <v>24</v>
      </c>
      <c r="I6" s="15" t="s">
        <v>144</v>
      </c>
    </row>
    <row r="7" customFormat="false" ht="75" hidden="false" customHeight="true" outlineLevel="0" collapsed="false">
      <c r="A7" s="16" t="s">
        <v>145</v>
      </c>
      <c r="B7" s="17" t="s">
        <v>133</v>
      </c>
      <c r="C7" s="17" t="s">
        <v>146</v>
      </c>
      <c r="D7" s="18" t="s">
        <v>147</v>
      </c>
      <c r="E7" s="19" t="s">
        <v>148</v>
      </c>
      <c r="F7" s="18" t="s">
        <v>66</v>
      </c>
      <c r="G7" s="13" t="s">
        <v>24</v>
      </c>
      <c r="H7" s="22" t="s">
        <v>149</v>
      </c>
      <c r="I7" s="20" t="s">
        <v>150</v>
      </c>
    </row>
    <row r="8" customFormat="false" ht="48" hidden="false" customHeight="true" outlineLevel="0" collapsed="false">
      <c r="A8" s="9" t="s">
        <v>151</v>
      </c>
      <c r="B8" s="10" t="s">
        <v>152</v>
      </c>
      <c r="C8" s="10" t="s">
        <v>153</v>
      </c>
      <c r="D8" s="11" t="s">
        <v>154</v>
      </c>
      <c r="E8" s="12" t="s">
        <v>155</v>
      </c>
      <c r="F8" s="11" t="s">
        <v>156</v>
      </c>
      <c r="G8" s="13" t="s">
        <v>24</v>
      </c>
      <c r="H8" s="22" t="s">
        <v>24</v>
      </c>
      <c r="I8" s="15" t="s">
        <v>157</v>
      </c>
    </row>
    <row r="9" customFormat="false" ht="75" hidden="false" customHeight="true" outlineLevel="0" collapsed="false">
      <c r="A9" s="16" t="s">
        <v>158</v>
      </c>
      <c r="B9" s="17" t="s">
        <v>152</v>
      </c>
      <c r="C9" s="17" t="s">
        <v>159</v>
      </c>
      <c r="D9" s="18" t="s">
        <v>160</v>
      </c>
      <c r="E9" s="19" t="s">
        <v>161</v>
      </c>
      <c r="F9" s="18" t="s">
        <v>162</v>
      </c>
      <c r="G9" s="13" t="s">
        <v>24</v>
      </c>
      <c r="H9" s="22" t="s">
        <v>24</v>
      </c>
      <c r="I9" s="20" t="s">
        <v>163</v>
      </c>
    </row>
    <row r="10" customFormat="false" ht="48" hidden="false" customHeight="true" outlineLevel="0" collapsed="false">
      <c r="A10" s="9" t="s">
        <v>164</v>
      </c>
      <c r="B10" s="10" t="s">
        <v>152</v>
      </c>
      <c r="C10" s="10" t="s">
        <v>165</v>
      </c>
      <c r="D10" s="11" t="s">
        <v>166</v>
      </c>
      <c r="E10" s="12" t="s">
        <v>167</v>
      </c>
      <c r="F10" s="11" t="s">
        <v>168</v>
      </c>
      <c r="G10" s="13" t="s">
        <v>24</v>
      </c>
      <c r="H10" s="22" t="s">
        <v>24</v>
      </c>
      <c r="I10" s="15" t="s">
        <v>169</v>
      </c>
    </row>
    <row r="11" customFormat="false" ht="61.5" hidden="false" customHeight="true" outlineLevel="0" collapsed="false">
      <c r="A11" s="16" t="s">
        <v>170</v>
      </c>
      <c r="B11" s="17" t="s">
        <v>152</v>
      </c>
      <c r="C11" s="17" t="s">
        <v>171</v>
      </c>
      <c r="D11" s="18" t="s">
        <v>172</v>
      </c>
      <c r="E11" s="19" t="s">
        <v>173</v>
      </c>
      <c r="F11" s="18" t="s">
        <v>174</v>
      </c>
      <c r="G11" s="13" t="s">
        <v>24</v>
      </c>
      <c r="H11" s="21" t="s">
        <v>50</v>
      </c>
      <c r="I11" s="20" t="s">
        <v>175</v>
      </c>
    </row>
    <row r="12" customFormat="false" ht="48" hidden="false" customHeight="true" outlineLevel="0" collapsed="false">
      <c r="A12" s="9" t="s">
        <v>176</v>
      </c>
      <c r="B12" s="10" t="s">
        <v>152</v>
      </c>
      <c r="C12" s="10" t="s">
        <v>177</v>
      </c>
      <c r="D12" s="11" t="s">
        <v>178</v>
      </c>
      <c r="E12" s="12" t="s">
        <v>179</v>
      </c>
      <c r="F12" s="11" t="s">
        <v>180</v>
      </c>
      <c r="G12" s="13" t="s">
        <v>24</v>
      </c>
      <c r="H12" s="22" t="s">
        <v>24</v>
      </c>
      <c r="I12" s="15" t="s">
        <v>181</v>
      </c>
    </row>
    <row r="13" customFormat="false" ht="61.5" hidden="false" customHeight="true" outlineLevel="0" collapsed="false">
      <c r="A13" s="16" t="s">
        <v>182</v>
      </c>
      <c r="B13" s="17" t="s">
        <v>152</v>
      </c>
      <c r="C13" s="17" t="s">
        <v>183</v>
      </c>
      <c r="D13" s="18" t="s">
        <v>184</v>
      </c>
      <c r="E13" s="19" t="s">
        <v>185</v>
      </c>
      <c r="F13" s="18" t="s">
        <v>186</v>
      </c>
      <c r="G13" s="13" t="s">
        <v>24</v>
      </c>
      <c r="H13" s="22" t="s">
        <v>24</v>
      </c>
      <c r="I13" s="20" t="s">
        <v>187</v>
      </c>
    </row>
    <row r="14" customFormat="false" ht="61.5" hidden="false" customHeight="true" outlineLevel="0" collapsed="false">
      <c r="A14" s="9" t="s">
        <v>188</v>
      </c>
      <c r="B14" s="10" t="s">
        <v>152</v>
      </c>
      <c r="C14" s="10" t="s">
        <v>189</v>
      </c>
      <c r="D14" s="11" t="s">
        <v>190</v>
      </c>
      <c r="E14" s="12" t="s">
        <v>191</v>
      </c>
      <c r="F14" s="11" t="s">
        <v>180</v>
      </c>
      <c r="G14" s="13" t="s">
        <v>24</v>
      </c>
      <c r="H14" s="14" t="s">
        <v>25</v>
      </c>
      <c r="I14" s="15" t="s">
        <v>192</v>
      </c>
    </row>
    <row r="15" customFormat="false" ht="61.5" hidden="false" customHeight="true" outlineLevel="0" collapsed="false">
      <c r="A15" s="16" t="s">
        <v>193</v>
      </c>
      <c r="B15" s="17" t="s">
        <v>152</v>
      </c>
      <c r="C15" s="17" t="s">
        <v>194</v>
      </c>
      <c r="D15" s="18" t="s">
        <v>195</v>
      </c>
      <c r="E15" s="19" t="s">
        <v>196</v>
      </c>
      <c r="F15" s="18" t="s">
        <v>162</v>
      </c>
      <c r="G15" s="13" t="s">
        <v>24</v>
      </c>
      <c r="H15" s="22" t="s">
        <v>24</v>
      </c>
      <c r="I15" s="20" t="s">
        <v>197</v>
      </c>
    </row>
    <row r="16" customFormat="false" ht="48" hidden="false" customHeight="true" outlineLevel="0" collapsed="false">
      <c r="A16" s="9" t="s">
        <v>198</v>
      </c>
      <c r="B16" s="10" t="s">
        <v>152</v>
      </c>
      <c r="C16" s="10" t="s">
        <v>199</v>
      </c>
      <c r="D16" s="11" t="s">
        <v>200</v>
      </c>
      <c r="E16" s="12" t="s">
        <v>201</v>
      </c>
      <c r="F16" s="11" t="s">
        <v>180</v>
      </c>
      <c r="G16" s="13" t="s">
        <v>24</v>
      </c>
      <c r="H16" s="22" t="s">
        <v>24</v>
      </c>
      <c r="I16" s="15" t="s">
        <v>202</v>
      </c>
    </row>
    <row r="17" customFormat="false" ht="88.5" hidden="false" customHeight="true" outlineLevel="0" collapsed="false">
      <c r="A17" s="16" t="s">
        <v>203</v>
      </c>
      <c r="B17" s="17" t="s">
        <v>152</v>
      </c>
      <c r="C17" s="17" t="s">
        <v>204</v>
      </c>
      <c r="D17" s="18" t="s">
        <v>205</v>
      </c>
      <c r="E17" s="19" t="s">
        <v>206</v>
      </c>
      <c r="F17" s="18" t="s">
        <v>186</v>
      </c>
      <c r="G17" s="13" t="s">
        <v>24</v>
      </c>
      <c r="H17" s="22" t="s">
        <v>24</v>
      </c>
      <c r="I17" s="20" t="s">
        <v>207</v>
      </c>
    </row>
    <row r="18" customFormat="false" ht="61.5" hidden="false" customHeight="true" outlineLevel="0" collapsed="false">
      <c r="A18" s="24" t="s">
        <v>208</v>
      </c>
      <c r="B18" s="15" t="s">
        <v>152</v>
      </c>
      <c r="C18" s="15" t="s">
        <v>209</v>
      </c>
      <c r="D18" s="15" t="s">
        <v>210</v>
      </c>
      <c r="E18" s="15" t="s">
        <v>211</v>
      </c>
      <c r="F18" s="15" t="s">
        <v>212</v>
      </c>
      <c r="G18" s="25" t="s">
        <v>213</v>
      </c>
      <c r="H18" s="22" t="s">
        <v>24</v>
      </c>
      <c r="I18" s="15" t="s">
        <v>214</v>
      </c>
    </row>
    <row r="19" customFormat="false" ht="61.5" hidden="false" customHeight="true" outlineLevel="0" collapsed="false">
      <c r="A19" s="26" t="s">
        <v>215</v>
      </c>
      <c r="B19" s="20" t="s">
        <v>152</v>
      </c>
      <c r="C19" s="20" t="s">
        <v>216</v>
      </c>
      <c r="D19" s="20" t="s">
        <v>217</v>
      </c>
      <c r="E19" s="20" t="s">
        <v>218</v>
      </c>
      <c r="F19" s="20" t="s">
        <v>219</v>
      </c>
      <c r="G19" s="27" t="s">
        <v>213</v>
      </c>
      <c r="H19" s="28" t="s">
        <v>220</v>
      </c>
      <c r="I19" s="20" t="s">
        <v>221</v>
      </c>
    </row>
  </sheetData>
  <mergeCells count="2">
    <mergeCell ref="A1:G1"/>
    <mergeCell ref="A2:G2"/>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2"/>
    <col collapsed="false" customWidth="true" hidden="false" outlineLevel="0" max="3" min="2" style="1" width="16"/>
    <col collapsed="false" customWidth="true" hidden="false" outlineLevel="0" max="5" min="4" style="1" width="15"/>
    <col collapsed="false" customWidth="true" hidden="false" outlineLevel="0" max="6" min="6" style="1" width="68"/>
    <col collapsed="false" customWidth="true" hidden="false" outlineLevel="0" max="7" min="7" style="0" width="22"/>
    <col collapsed="false" customWidth="true" hidden="false" outlineLevel="0" max="8" min="8" style="0" width="80"/>
  </cols>
  <sheetData>
    <row r="1" customFormat="false" ht="27.75" hidden="false" customHeight="true" outlineLevel="0" collapsed="false">
      <c r="A1" s="2" t="s">
        <v>222</v>
      </c>
      <c r="B1" s="2"/>
      <c r="C1" s="2"/>
      <c r="D1" s="2"/>
      <c r="E1" s="2"/>
      <c r="F1" s="2"/>
      <c r="G1" s="2"/>
      <c r="H1" s="2"/>
    </row>
    <row r="2" customFormat="false" ht="19.5" hidden="false" customHeight="true" outlineLevel="0" collapsed="false">
      <c r="A2" s="3" t="s">
        <v>223</v>
      </c>
      <c r="B2" s="3"/>
      <c r="C2" s="3"/>
      <c r="D2" s="3"/>
      <c r="E2" s="3"/>
      <c r="F2" s="3"/>
      <c r="G2" s="3"/>
      <c r="H2" s="3"/>
    </row>
    <row r="4" customFormat="false" ht="24" hidden="false" customHeight="true" outlineLevel="0" collapsed="false">
      <c r="A4" s="8" t="s">
        <v>224</v>
      </c>
      <c r="B4" s="7" t="s">
        <v>225</v>
      </c>
      <c r="C4" s="7" t="s">
        <v>226</v>
      </c>
      <c r="D4" s="29" t="s">
        <v>227</v>
      </c>
      <c r="E4" s="29" t="s">
        <v>228</v>
      </c>
      <c r="F4" s="8" t="s">
        <v>229</v>
      </c>
      <c r="G4" s="23" t="s">
        <v>230</v>
      </c>
      <c r="H4" s="23" t="s">
        <v>231</v>
      </c>
    </row>
    <row r="5" customFormat="false" ht="34.5" hidden="false" customHeight="true" outlineLevel="0" collapsed="false">
      <c r="A5" s="30" t="s">
        <v>232</v>
      </c>
      <c r="B5" s="31" t="s">
        <v>233</v>
      </c>
      <c r="C5" s="31" t="s">
        <v>234</v>
      </c>
      <c r="D5" s="32" t="n">
        <v>125</v>
      </c>
      <c r="E5" s="32" t="n">
        <v>8</v>
      </c>
      <c r="F5" s="33" t="s">
        <v>235</v>
      </c>
      <c r="G5" s="20" t="s">
        <v>236</v>
      </c>
      <c r="H5" s="20"/>
    </row>
    <row r="6" customFormat="false" ht="34.5" hidden="false" customHeight="true" outlineLevel="0" collapsed="false">
      <c r="A6" s="34" t="s">
        <v>237</v>
      </c>
      <c r="B6" s="35" t="s">
        <v>233</v>
      </c>
      <c r="C6" s="35" t="s">
        <v>234</v>
      </c>
      <c r="D6" s="36" t="n">
        <v>26</v>
      </c>
      <c r="E6" s="36" t="n">
        <v>4</v>
      </c>
      <c r="F6" s="37" t="s">
        <v>238</v>
      </c>
      <c r="G6" s="15" t="s">
        <v>236</v>
      </c>
      <c r="H6" s="15" t="s">
        <v>239</v>
      </c>
    </row>
    <row r="7" customFormat="false" ht="34.5" hidden="false" customHeight="true" outlineLevel="0" collapsed="false">
      <c r="A7" s="30" t="s">
        <v>240</v>
      </c>
      <c r="B7" s="31" t="s">
        <v>233</v>
      </c>
      <c r="C7" s="31" t="s">
        <v>234</v>
      </c>
      <c r="D7" s="32" t="n">
        <v>31</v>
      </c>
      <c r="E7" s="32" t="n">
        <v>4</v>
      </c>
      <c r="F7" s="33" t="s">
        <v>241</v>
      </c>
      <c r="G7" s="20" t="s">
        <v>236</v>
      </c>
      <c r="H7" s="20"/>
    </row>
    <row r="8" customFormat="false" ht="48" hidden="false" customHeight="true" outlineLevel="0" collapsed="false">
      <c r="A8" s="34" t="s">
        <v>242</v>
      </c>
      <c r="B8" s="35" t="s">
        <v>233</v>
      </c>
      <c r="C8" s="35" t="s">
        <v>243</v>
      </c>
      <c r="D8" s="36" t="n">
        <v>65</v>
      </c>
      <c r="E8" s="36" t="n">
        <v>22</v>
      </c>
      <c r="F8" s="37" t="s">
        <v>244</v>
      </c>
      <c r="G8" s="15" t="s">
        <v>236</v>
      </c>
      <c r="H8" s="15" t="s">
        <v>245</v>
      </c>
    </row>
    <row r="9" customFormat="false" ht="34.5" hidden="false" customHeight="true" outlineLevel="0" collapsed="false">
      <c r="A9" s="30" t="s">
        <v>246</v>
      </c>
      <c r="B9" s="31" t="s">
        <v>233</v>
      </c>
      <c r="C9" s="31" t="s">
        <v>247</v>
      </c>
      <c r="D9" s="32" t="n">
        <v>168</v>
      </c>
      <c r="E9" s="32" t="n">
        <v>4</v>
      </c>
      <c r="F9" s="33" t="s">
        <v>248</v>
      </c>
      <c r="G9" s="20" t="s">
        <v>236</v>
      </c>
      <c r="H9" s="20"/>
    </row>
    <row r="10" customFormat="false" ht="24" hidden="false" customHeight="true" outlineLevel="0" collapsed="false">
      <c r="A10" s="34" t="s">
        <v>249</v>
      </c>
      <c r="B10" s="35" t="s">
        <v>233</v>
      </c>
      <c r="C10" s="35" t="s">
        <v>247</v>
      </c>
      <c r="D10" s="36" t="n">
        <v>15</v>
      </c>
      <c r="E10" s="36" t="n">
        <v>3</v>
      </c>
      <c r="F10" s="37" t="s">
        <v>250</v>
      </c>
      <c r="G10" s="15" t="s">
        <v>236</v>
      </c>
      <c r="H10" s="15" t="s">
        <v>251</v>
      </c>
    </row>
    <row r="11" customFormat="false" ht="34.5" hidden="false" customHeight="true" outlineLevel="0" collapsed="false">
      <c r="A11" s="30" t="s">
        <v>252</v>
      </c>
      <c r="B11" s="31" t="s">
        <v>233</v>
      </c>
      <c r="C11" s="31" t="s">
        <v>247</v>
      </c>
      <c r="D11" s="32" t="n">
        <v>69</v>
      </c>
      <c r="E11" s="32" t="n">
        <v>8</v>
      </c>
      <c r="F11" s="33" t="s">
        <v>253</v>
      </c>
      <c r="G11" s="20" t="s">
        <v>236</v>
      </c>
      <c r="H11" s="20"/>
    </row>
    <row r="12" customFormat="false" ht="34.5" hidden="false" customHeight="true" outlineLevel="0" collapsed="false">
      <c r="A12" s="34" t="s">
        <v>254</v>
      </c>
      <c r="B12" s="35" t="s">
        <v>233</v>
      </c>
      <c r="C12" s="35" t="s">
        <v>247</v>
      </c>
      <c r="D12" s="36" t="n">
        <v>52</v>
      </c>
      <c r="E12" s="36" t="n">
        <v>10</v>
      </c>
      <c r="F12" s="37" t="s">
        <v>255</v>
      </c>
      <c r="G12" s="15" t="s">
        <v>236</v>
      </c>
      <c r="H12" s="15"/>
    </row>
    <row r="13" customFormat="false" ht="34.5" hidden="false" customHeight="true" outlineLevel="0" collapsed="false">
      <c r="A13" s="30" t="s">
        <v>256</v>
      </c>
      <c r="B13" s="31" t="s">
        <v>233</v>
      </c>
      <c r="C13" s="31" t="s">
        <v>257</v>
      </c>
      <c r="D13" s="32" t="n">
        <v>61</v>
      </c>
      <c r="E13" s="32" t="n">
        <v>15</v>
      </c>
      <c r="F13" s="33" t="s">
        <v>258</v>
      </c>
      <c r="G13" s="20" t="s">
        <v>236</v>
      </c>
      <c r="H13" s="20" t="s">
        <v>259</v>
      </c>
    </row>
    <row r="14" customFormat="false" ht="34.5" hidden="false" customHeight="true" outlineLevel="0" collapsed="false">
      <c r="A14" s="34" t="s">
        <v>260</v>
      </c>
      <c r="B14" s="35" t="s">
        <v>233</v>
      </c>
      <c r="C14" s="35" t="s">
        <v>257</v>
      </c>
      <c r="D14" s="36" t="n">
        <v>93</v>
      </c>
      <c r="E14" s="36" t="n">
        <v>32</v>
      </c>
      <c r="F14" s="37" t="s">
        <v>261</v>
      </c>
      <c r="G14" s="15" t="s">
        <v>236</v>
      </c>
      <c r="H14" s="15" t="s">
        <v>262</v>
      </c>
    </row>
    <row r="15" customFormat="false" ht="34.5" hidden="false" customHeight="true" outlineLevel="0" collapsed="false">
      <c r="A15" s="30" t="s">
        <v>263</v>
      </c>
      <c r="B15" s="31" t="s">
        <v>233</v>
      </c>
      <c r="C15" s="31" t="s">
        <v>257</v>
      </c>
      <c r="D15" s="32" t="n">
        <v>104</v>
      </c>
      <c r="E15" s="32" t="n">
        <v>34</v>
      </c>
      <c r="F15" s="33" t="s">
        <v>264</v>
      </c>
      <c r="G15" s="20" t="s">
        <v>236</v>
      </c>
      <c r="H15" s="20"/>
    </row>
    <row r="16" customFormat="false" ht="34.5" hidden="false" customHeight="true" outlineLevel="0" collapsed="false">
      <c r="A16" s="34" t="s">
        <v>265</v>
      </c>
      <c r="B16" s="35" t="s">
        <v>233</v>
      </c>
      <c r="C16" s="35" t="s">
        <v>257</v>
      </c>
      <c r="D16" s="36" t="n">
        <v>2</v>
      </c>
      <c r="E16" s="36" t="n">
        <v>2</v>
      </c>
      <c r="F16" s="37" t="s">
        <v>266</v>
      </c>
      <c r="G16" s="15" t="s">
        <v>236</v>
      </c>
      <c r="H16" s="15"/>
    </row>
    <row r="17" customFormat="false" ht="34.5" hidden="false" customHeight="true" outlineLevel="0" collapsed="false">
      <c r="A17" s="30" t="s">
        <v>267</v>
      </c>
      <c r="B17" s="31" t="s">
        <v>233</v>
      </c>
      <c r="C17" s="31" t="s">
        <v>257</v>
      </c>
      <c r="D17" s="32" t="n">
        <v>51</v>
      </c>
      <c r="E17" s="32" t="n">
        <v>11</v>
      </c>
      <c r="F17" s="33" t="s">
        <v>268</v>
      </c>
      <c r="G17" s="20" t="s">
        <v>236</v>
      </c>
      <c r="H17" s="20"/>
    </row>
    <row r="18" customFormat="false" ht="34.5" hidden="false" customHeight="true" outlineLevel="0" collapsed="false">
      <c r="A18" s="34" t="s">
        <v>269</v>
      </c>
      <c r="B18" s="35" t="s">
        <v>233</v>
      </c>
      <c r="C18" s="35" t="s">
        <v>270</v>
      </c>
      <c r="D18" s="36" t="n">
        <v>156</v>
      </c>
      <c r="E18" s="36" t="n">
        <v>11</v>
      </c>
      <c r="F18" s="37" t="s">
        <v>271</v>
      </c>
      <c r="G18" s="15" t="s">
        <v>236</v>
      </c>
      <c r="H18" s="15"/>
    </row>
    <row r="19" customFormat="false" ht="34.5" hidden="false" customHeight="true" outlineLevel="0" collapsed="false">
      <c r="A19" s="30" t="s">
        <v>272</v>
      </c>
      <c r="B19" s="38" t="s">
        <v>273</v>
      </c>
      <c r="C19" s="31" t="s">
        <v>270</v>
      </c>
      <c r="D19" s="32" t="n">
        <v>214</v>
      </c>
      <c r="E19" s="32" t="n">
        <v>0</v>
      </c>
      <c r="F19" s="33" t="s">
        <v>274</v>
      </c>
      <c r="G19" s="20" t="s">
        <v>275</v>
      </c>
      <c r="H19" s="20" t="s">
        <v>276</v>
      </c>
    </row>
    <row r="20" customFormat="false" ht="34.5" hidden="false" customHeight="true" outlineLevel="0" collapsed="false">
      <c r="A20" s="34" t="s">
        <v>277</v>
      </c>
      <c r="B20" s="39" t="s">
        <v>273</v>
      </c>
      <c r="C20" s="35" t="s">
        <v>270</v>
      </c>
      <c r="D20" s="36" t="n">
        <v>214</v>
      </c>
      <c r="E20" s="36" t="n">
        <v>0</v>
      </c>
      <c r="F20" s="37" t="s">
        <v>278</v>
      </c>
      <c r="G20" s="15" t="s">
        <v>275</v>
      </c>
      <c r="H20" s="15" t="s">
        <v>279</v>
      </c>
    </row>
    <row r="21" customFormat="false" ht="24" hidden="false" customHeight="true" outlineLevel="0" collapsed="false">
      <c r="A21" s="30" t="s">
        <v>280</v>
      </c>
      <c r="B21" s="31" t="s">
        <v>233</v>
      </c>
      <c r="C21" s="31" t="s">
        <v>270</v>
      </c>
      <c r="D21" s="32" t="n">
        <v>3</v>
      </c>
      <c r="E21" s="32" t="n">
        <v>2</v>
      </c>
      <c r="F21" s="33" t="s">
        <v>281</v>
      </c>
      <c r="G21" s="20" t="s">
        <v>236</v>
      </c>
      <c r="H21" s="20"/>
    </row>
    <row r="22" customFormat="false" ht="34.5" hidden="false" customHeight="true" outlineLevel="0" collapsed="false">
      <c r="A22" s="34" t="s">
        <v>282</v>
      </c>
      <c r="B22" s="35" t="s">
        <v>233</v>
      </c>
      <c r="C22" s="35" t="s">
        <v>270</v>
      </c>
      <c r="D22" s="36" t="n">
        <v>14</v>
      </c>
      <c r="E22" s="36" t="n">
        <v>2</v>
      </c>
      <c r="F22" s="37" t="s">
        <v>283</v>
      </c>
      <c r="G22" s="15" t="s">
        <v>236</v>
      </c>
      <c r="H22" s="15"/>
    </row>
    <row r="23" customFormat="false" ht="34.5" hidden="false" customHeight="true" outlineLevel="0" collapsed="false">
      <c r="A23" s="30" t="s">
        <v>284</v>
      </c>
      <c r="B23" s="31" t="s">
        <v>233</v>
      </c>
      <c r="C23" s="31" t="s">
        <v>285</v>
      </c>
      <c r="D23" s="32" t="n">
        <v>204</v>
      </c>
      <c r="E23" s="32" t="n">
        <v>26</v>
      </c>
      <c r="F23" s="33" t="s">
        <v>286</v>
      </c>
      <c r="G23" s="20" t="s">
        <v>236</v>
      </c>
      <c r="H23" s="20"/>
    </row>
    <row r="24" customFormat="false" ht="34.5" hidden="false" customHeight="true" outlineLevel="0" collapsed="false">
      <c r="A24" s="34" t="s">
        <v>287</v>
      </c>
      <c r="B24" s="35" t="s">
        <v>233</v>
      </c>
      <c r="C24" s="35" t="s">
        <v>270</v>
      </c>
      <c r="D24" s="36" t="n">
        <v>17</v>
      </c>
      <c r="E24" s="36" t="n">
        <v>11</v>
      </c>
      <c r="F24" s="37" t="s">
        <v>288</v>
      </c>
      <c r="G24" s="15" t="s">
        <v>236</v>
      </c>
      <c r="H24" s="15" t="s">
        <v>289</v>
      </c>
    </row>
    <row r="25" customFormat="false" ht="24" hidden="false" customHeight="true" outlineLevel="0" collapsed="false">
      <c r="A25" s="30" t="s">
        <v>290</v>
      </c>
      <c r="B25" s="38" t="s">
        <v>273</v>
      </c>
      <c r="C25" s="31" t="s">
        <v>243</v>
      </c>
      <c r="D25" s="32" t="n">
        <v>488</v>
      </c>
      <c r="E25" s="32" t="n">
        <v>0</v>
      </c>
      <c r="F25" s="33" t="s">
        <v>291</v>
      </c>
      <c r="G25" s="20" t="s">
        <v>292</v>
      </c>
      <c r="H25" s="20" t="s">
        <v>293</v>
      </c>
    </row>
    <row r="26" customFormat="false" ht="34.5" hidden="false" customHeight="true" outlineLevel="0" collapsed="false">
      <c r="A26" s="34" t="s">
        <v>294</v>
      </c>
      <c r="B26" s="35" t="s">
        <v>233</v>
      </c>
      <c r="C26" s="35" t="s">
        <v>295</v>
      </c>
      <c r="D26" s="36" t="n">
        <v>27</v>
      </c>
      <c r="E26" s="36" t="n">
        <v>0</v>
      </c>
      <c r="F26" s="37" t="s">
        <v>296</v>
      </c>
      <c r="G26" s="15" t="s">
        <v>236</v>
      </c>
      <c r="H26" s="15" t="s">
        <v>297</v>
      </c>
    </row>
    <row r="27" customFormat="false" ht="24" hidden="false" customHeight="true" outlineLevel="0" collapsed="false">
      <c r="A27" s="30" t="s">
        <v>298</v>
      </c>
      <c r="B27" s="31" t="s">
        <v>233</v>
      </c>
      <c r="C27" s="31" t="s">
        <v>295</v>
      </c>
      <c r="D27" s="32" t="n">
        <v>8</v>
      </c>
      <c r="E27" s="32" t="n">
        <v>0</v>
      </c>
      <c r="F27" s="33" t="s">
        <v>299</v>
      </c>
      <c r="G27" s="20" t="s">
        <v>236</v>
      </c>
      <c r="H27" s="20"/>
    </row>
    <row r="28" customFormat="false" ht="24" hidden="false" customHeight="true" outlineLevel="0" collapsed="false">
      <c r="A28" s="34" t="s">
        <v>300</v>
      </c>
      <c r="B28" s="35" t="s">
        <v>233</v>
      </c>
      <c r="C28" s="35" t="s">
        <v>301</v>
      </c>
      <c r="D28" s="36" t="n">
        <v>1</v>
      </c>
      <c r="E28" s="36" t="n">
        <v>1</v>
      </c>
      <c r="F28" s="37" t="s">
        <v>302</v>
      </c>
      <c r="G28" s="15" t="s">
        <v>236</v>
      </c>
      <c r="H28" s="15"/>
    </row>
    <row r="29" customFormat="false" ht="24" hidden="false" customHeight="true" outlineLevel="0" collapsed="false">
      <c r="A29" s="30" t="s">
        <v>303</v>
      </c>
      <c r="B29" s="31" t="s">
        <v>233</v>
      </c>
      <c r="C29" s="31" t="s">
        <v>301</v>
      </c>
      <c r="D29" s="32" t="n">
        <v>1</v>
      </c>
      <c r="E29" s="32" t="n">
        <v>1</v>
      </c>
      <c r="F29" s="33" t="s">
        <v>304</v>
      </c>
      <c r="G29" s="20" t="s">
        <v>236</v>
      </c>
      <c r="H29" s="20"/>
    </row>
    <row r="30" customFormat="false" ht="75" hidden="false" customHeight="true" outlineLevel="0" collapsed="false">
      <c r="A30" s="40" t="s">
        <v>305</v>
      </c>
      <c r="B30" s="40"/>
      <c r="C30" s="40"/>
      <c r="D30" s="41" t="n">
        <f aca="false">SUM(D5:D29)</f>
        <v>2209</v>
      </c>
      <c r="E30" s="41" t="n">
        <f aca="false">SUM(E5:E29)</f>
        <v>211</v>
      </c>
      <c r="F30" s="40"/>
      <c r="G30" s="20" t="s">
        <v>306</v>
      </c>
      <c r="H30" s="20" t="s">
        <v>307</v>
      </c>
    </row>
  </sheetData>
  <mergeCells count="2">
    <mergeCell ref="A1:H1"/>
    <mergeCell ref="A2:H2"/>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2026-10-14T18:03:50Z</dcterms:created>
  <dc:creator>openpyxl</dc:creator>
  <dc:description/>
  <dc:language>en-US</dc:language>
  <cp:lastModifiedBy/>
  <dcterms:modified xsi:type="dcterms:W3CDTF">2026-10-14T18:49:47Z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